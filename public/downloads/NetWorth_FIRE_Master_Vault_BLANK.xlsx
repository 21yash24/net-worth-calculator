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23">
    <numFmt numFmtId="164" formatCode="$#,##0"/>
    <numFmt numFmtId="165" formatCode="0.0%"/>
    <numFmt numFmtId="166" formatCode="0.00&quot;x&quot;"/>
    <numFmt numFmtId="167" formatCode="#,##0 &quot;hrs&quot;"/>
    <numFmt numFmtId="168" formatCode="$#,##0.00&quot;/hr&quot;"/>
    <numFmt numFmtId="169" formatCode="mmm yyyy"/>
    <numFmt numFmtId="170" formatCode="+$#,##0;-$#,##0;$0"/>
    <numFmt numFmtId="171" formatCode="+0.0%;-0.0%;0.0%"/>
    <numFmt numFmtId="172" formatCode="+$#,##0;-$#,##0;&quot;$0&quot; Annual Gain"/>
    <numFmt numFmtId="173" formatCode="0.0%&quot; Liquid&quot;"/>
    <numFmt numFmtId="174" formatCode="&quot;Age Cohort: &quot;0&quot; Years&quot;"/>
    <numFmt numFmtId="175" formatCode="0.0%&quot; Funded&quot;"/>
    <numFmt numFmtId="176" formatCode="mmmm yyyy"/>
    <numFmt numFmtId="177" formatCode="0.0&quot; Years Remaining&quot;"/>
    <numFmt numFmtId="178" formatCode="$#,##0/day"/>
    <numFmt numFmtId="179" formatCode="0.0%&quot; (Target ≤50%)&quot;"/>
    <numFmt numFmtId="180" formatCode="0.0%&quot; (Target ≤30%)&quot;"/>
    <numFmt numFmtId="181" formatCode="0.0%&quot; (Target ≥20%)&quot;"/>
    <numFmt numFmtId="182" formatCode="$#,##0.00"/>
    <numFmt numFmtId="183" formatCode="0.0%&quot; of Outflows&quot;"/>
    <numFmt numFmtId="184" formatCode="0.0&quot; Years&quot;"/>
    <numFmt numFmtId="185" formatCode="0&quot; mos&quot;"/>
    <numFmt numFmtId="186" formatCode="0&quot; mos saved&quot;"/>
  </numFmts>
  <fonts count="27">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F59E0B"/>
      <sz val="14"/>
    </font>
    <font>
      <name val="Arial"/>
      <b val="1"/>
      <color rgb="000F172A"/>
      <sz val="11"/>
    </font>
    <font>
      <name val="Arial"/>
      <b val="1"/>
      <color rgb="000F172A"/>
      <sz val="13"/>
    </font>
    <font>
      <name val="Arial"/>
      <b val="1"/>
      <color rgb="0010B981"/>
      <sz val="9"/>
    </font>
    <font>
      <name val="Arial"/>
      <b val="1"/>
      <color rgb="00FFFFFF"/>
      <sz val="15"/>
    </font>
    <font>
      <name val="Arial"/>
      <b val="1"/>
      <color rgb="0010B981"/>
      <sz val="10"/>
    </font>
    <font>
      <name val="Arial"/>
      <b val="1"/>
      <color rgb="0010B981"/>
      <sz val="13"/>
    </font>
    <font>
      <name val="Arial"/>
      <b val="1"/>
      <color rgb="00FFFFFF"/>
      <sz val="13"/>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8">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10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3" borderId="0" applyAlignment="1" pivotButton="0" quotePrefix="0" xfId="0">
      <alignment horizontal="center" vertical="center"/>
    </xf>
    <xf numFmtId="0" fontId="7" fillId="4" borderId="0" pivotButton="0" quotePrefix="0" xfId="0"/>
    <xf numFmtId="1" fontId="8" fillId="5" borderId="1" applyAlignment="1" applyProtection="1" pivotButton="0" quotePrefix="0" xfId="0">
      <alignment horizontal="right" vertical="center"/>
      <protection locked="0" hidden="0"/>
    </xf>
    <xf numFmtId="164" fontId="8" fillId="5" borderId="1" applyAlignment="1" applyProtection="1" pivotButton="0" quotePrefix="0" xfId="0">
      <alignment horizontal="right" vertical="center"/>
      <protection locked="0" hidden="0"/>
    </xf>
    <xf numFmtId="165" fontId="8" fillId="5" borderId="1" applyAlignment="1" applyProtection="1" pivotButton="0" quotePrefix="0" xfId="0">
      <alignment horizontal="right" vertical="center"/>
      <protection locked="0" hidden="0"/>
    </xf>
    <xf numFmtId="0" fontId="3" fillId="4"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7" fillId="3" borderId="1" pivotButton="0" quotePrefix="0" xfId="0"/>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pivotButton="0" quotePrefix="0" xfId="0"/>
    <xf numFmtId="167" fontId="5" fillId="5" borderId="2" applyAlignment="1" applyProtection="1" pivotButton="0" quotePrefix="0" xfId="0">
      <alignment horizontal="right" vertical="center"/>
      <protection locked="0" hidden="0"/>
    </xf>
    <xf numFmtId="164" fontId="5" fillId="5" borderId="2"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4" borderId="1" applyAlignment="1" pivotButton="0" quotePrefix="0" xfId="0">
      <alignment horizontal="center" vertical="center"/>
    </xf>
    <xf numFmtId="0" fontId="7" fillId="2" borderId="1" applyAlignment="1" pivotButton="0" quotePrefix="0" xfId="0">
      <alignment horizontal="center" vertical="center"/>
    </xf>
    <xf numFmtId="0" fontId="7" fillId="3"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4" fillId="4" borderId="1" applyAlignment="1" pivotButton="0" quotePrefix="0" xfId="0">
      <alignment horizontal="left" vertical="center"/>
    </xf>
    <xf numFmtId="172" fontId="2" fillId="4" borderId="1" pivotButton="0" quotePrefix="0" xfId="0"/>
    <xf numFmtId="173" fontId="2" fillId="4" borderId="1" pivotButton="0" quotePrefix="0" xfId="0"/>
    <xf numFmtId="174" fontId="2" fillId="4" borderId="1" pivotButton="0" quotePrefix="0" xfId="0"/>
    <xf numFmtId="0" fontId="7" fillId="4" borderId="1" pivotButton="0" quotePrefix="0" xfId="0"/>
    <xf numFmtId="1" fontId="15" fillId="0" borderId="1" applyAlignment="1" pivotButton="0" quotePrefix="0" xfId="0">
      <alignment horizontal="center" vertical="center"/>
    </xf>
    <xf numFmtId="164" fontId="15" fillId="0" borderId="1" applyAlignment="1" pivotButton="0" quotePrefix="0" xfId="0">
      <alignment horizontal="center" vertical="center"/>
    </xf>
    <xf numFmtId="166" fontId="15" fillId="0" borderId="1" applyAlignment="1" pivotButton="0" quotePrefix="0" xfId="0">
      <alignment horizontal="center" vertical="center"/>
    </xf>
    <xf numFmtId="0" fontId="10" fillId="0" borderId="1" applyAlignment="1" pivotButton="0" quotePrefix="0" xfId="0">
      <alignment horizontal="center" vertical="center"/>
    </xf>
    <xf numFmtId="164" fontId="16" fillId="0" borderId="1" applyAlignment="1" pivotButton="0" quotePrefix="0" xfId="0">
      <alignment horizontal="center" vertical="center"/>
    </xf>
    <xf numFmtId="176" fontId="16" fillId="0" borderId="1" applyAlignment="1" pivotButton="0" quotePrefix="0" xfId="0">
      <alignment horizontal="center" vertical="center"/>
    </xf>
    <xf numFmtId="175" fontId="6" fillId="0" borderId="1" applyAlignment="1" pivotButton="0" quotePrefix="0" xfId="0">
      <alignment horizontal="center" vertical="center"/>
    </xf>
    <xf numFmtId="0" fontId="6" fillId="0" borderId="1" applyAlignment="1" pivotButton="0" quotePrefix="0" xfId="0">
      <alignment horizontal="center" vertical="center"/>
    </xf>
    <xf numFmtId="177" fontId="6" fillId="0" borderId="1" applyAlignment="1" pivotButton="0" quotePrefix="0" xfId="0">
      <alignment horizontal="center" vertical="center"/>
    </xf>
    <xf numFmtId="0" fontId="17" fillId="4" borderId="1" pivotButton="0" quotePrefix="0" xfId="0"/>
    <xf numFmtId="164" fontId="13" fillId="4" borderId="1" pivotButton="0" quotePrefix="0" xfId="0"/>
    <xf numFmtId="178" fontId="18" fillId="4" borderId="1" pivotButton="0" quotePrefix="0" xfId="0"/>
    <xf numFmtId="0" fontId="3" fillId="2" borderId="0" pivotButton="0" quotePrefix="0" xfId="0"/>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9" fontId="0" fillId="7" borderId="1" pivotButton="0" quotePrefix="0" xfId="0"/>
    <xf numFmtId="180" fontId="0" fillId="7" borderId="1" pivotButton="0" quotePrefix="0" xfId="0"/>
    <xf numFmtId="181" fontId="0" fillId="7" borderId="1" pivotButton="0" quotePrefix="0" xfId="0"/>
    <xf numFmtId="0" fontId="19" fillId="3" borderId="1" applyAlignment="1" pivotButton="0" quotePrefix="0" xfId="0">
      <alignment horizontal="center" vertical="center"/>
    </xf>
    <xf numFmtId="182" fontId="20" fillId="4" borderId="1" applyAlignment="1" pivotButton="0" quotePrefix="0" xfId="0">
      <alignment horizontal="center" vertical="center"/>
    </xf>
    <xf numFmtId="182" fontId="21" fillId="4" borderId="1" applyAlignment="1" pivotButton="0" quotePrefix="0" xfId="0">
      <alignment horizontal="center" vertical="center"/>
    </xf>
    <xf numFmtId="0" fontId="2" fillId="4" borderId="1" applyAlignment="1" pivotButton="0" quotePrefix="0" xfId="0">
      <alignment horizontal="center" vertical="center"/>
    </xf>
    <xf numFmtId="183" fontId="2" fillId="4" borderId="1" applyAlignment="1" pivotButton="0" quotePrefix="0" xfId="0">
      <alignment horizontal="center" vertical="center"/>
    </xf>
    <xf numFmtId="0" fontId="6" fillId="7" borderId="1" applyAlignment="1" pivotButton="0" quotePrefix="0" xfId="0">
      <alignment vertical="center" wrapText="1"/>
    </xf>
    <xf numFmtId="0" fontId="0" fillId="5" borderId="1" applyProtection="1" pivotButton="0" quotePrefix="0" xfId="0">
      <protection locked="0" hidden="0"/>
    </xf>
    <xf numFmtId="182" fontId="0" fillId="5"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75"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22" fillId="0" borderId="1" applyAlignment="1" pivotButton="0" quotePrefix="0" xfId="0">
      <alignment horizontal="right" vertical="center"/>
    </xf>
    <xf numFmtId="184" fontId="23" fillId="0" borderId="1" applyAlignment="1" pivotButton="0" quotePrefix="0" xfId="0">
      <alignment horizontal="right" vertical="center"/>
    </xf>
    <xf numFmtId="0" fontId="24" fillId="0" borderId="1" pivotButton="0" quotePrefix="0" xfId="0"/>
    <xf numFmtId="176" fontId="25"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6" fillId="3" borderId="1" applyAlignment="1" pivotButton="0" quotePrefix="0" xfId="0">
      <alignment horizontal="right" vertical="center"/>
    </xf>
    <xf numFmtId="0" fontId="6"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85" fontId="5" fillId="5" borderId="1" applyProtection="1" pivotButton="0" quotePrefix="0" xfId="0">
      <protection locked="0" hidden="0"/>
    </xf>
    <xf numFmtId="186" fontId="6" fillId="0" borderId="1" pivotButton="0" quotePrefix="0" xfId="0"/>
    <xf numFmtId="164" fontId="5" fillId="5" borderId="1" applyProtection="1" pivotButton="0" quotePrefix="0" xfId="0">
      <protection locked="0" hidden="0"/>
    </xf>
    <xf numFmtId="164" fontId="6" fillId="0" borderId="1" pivotButton="0" quotePrefix="0" xfId="0"/>
    <xf numFmtId="164" fontId="10" fillId="0" borderId="1"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cols>
    <col width="3" customWidth="1" min="1" max="1"/>
    <col width="28" customWidth="1" min="2" max="2"/>
    <col width="32" customWidth="1" min="3" max="3"/>
    <col width="56"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2" customHeight="1">
      <c r="B10" s="7" t="inlineStr">
        <is>
          <t>⚙️ MASTER SETUP &amp; PROFILE (ENTER ONCE — POWERS ALL 8 TABS)</t>
        </is>
      </c>
    </row>
    <row r="11" ht="20" customHeight="1">
      <c r="B11" s="8" t="inlineStr">
        <is>
          <t>Setup Parameter</t>
        </is>
      </c>
      <c r="C11" s="8" t="inlineStr">
        <is>
          <t>Your Value (Green Input)</t>
        </is>
      </c>
      <c r="D11" s="8" t="inlineStr">
        <is>
          <t>How It Feeds Your Vault</t>
        </is>
      </c>
    </row>
    <row r="12" ht="20" customHeight="1">
      <c r="B12" s="4" t="inlineStr">
        <is>
          <t>Your Current Age</t>
        </is>
      </c>
      <c r="C12" s="9" t="n"/>
      <c r="D12" s="6" t="inlineStr">
        <is>
          <t>Feeds Fed Benchmarks, Stanley &amp; Danko PAW, and FIRE timeline</t>
        </is>
      </c>
    </row>
    <row r="13" ht="20" customHeight="1">
      <c r="B13" s="4" t="inlineStr">
        <is>
          <t>Pre-Tax Annual Household Income</t>
        </is>
      </c>
      <c r="C13" s="10" t="n"/>
      <c r="D13" s="6" t="inlineStr">
        <is>
          <t>Used for Expected Net Worth and Wealth Tier categorization</t>
        </is>
      </c>
    </row>
    <row r="14" ht="20" customHeight="1">
      <c r="B14" s="4" t="inlineStr">
        <is>
          <t>Target Retirement / Independence Age</t>
        </is>
      </c>
      <c r="C14" s="9" t="n">
        <v>60</v>
      </c>
      <c r="D14" s="6" t="inlineStr">
        <is>
          <t>Used in Coast FIRE compounding and Freedom Countdown</t>
        </is>
      </c>
    </row>
    <row r="15" ht="20" customHeight="1">
      <c r="B15" s="4" t="inlineStr">
        <is>
          <t>Target Annual Spending in Retirement</t>
        </is>
      </c>
      <c r="C15" s="10" t="n"/>
      <c r="D15" s="6" t="inlineStr">
        <is>
          <t>Used to calculate your 4% Standard and Lean FIRE targets</t>
        </is>
      </c>
    </row>
    <row r="16" ht="20" customHeight="1">
      <c r="B16" s="4" t="inlineStr">
        <is>
          <t>Safe Withdrawal Rate (SWR)</t>
        </is>
      </c>
      <c r="C16" s="11" t="n">
        <v>0.04</v>
      </c>
      <c r="D16" s="6" t="inlineStr">
        <is>
          <t>Standard Trinity 4% rule (customizable for 3.5% or 3.0%)</t>
        </is>
      </c>
    </row>
    <row r="17" ht="20" customHeight="1">
      <c r="B17" s="4" t="inlineStr">
        <is>
          <t>Expected Real Return After Inflation</t>
        </is>
      </c>
      <c r="C17" s="11" t="n">
        <v>0.07000000000000001</v>
      </c>
      <c r="D17" s="6" t="inlineStr">
        <is>
          <t>Historical stock index real return (typically 6% to 8%)</t>
        </is>
      </c>
    </row>
    <row r="18" ht="20" customHeight="1">
      <c r="B18" s="4" t="inlineStr">
        <is>
          <t>Lean FIRE Spending Ratio</t>
        </is>
      </c>
      <c r="C18" s="11" t="n">
        <v>0.65</v>
      </c>
      <c r="D18" s="6" t="inlineStr">
        <is>
          <t>Survival spending baseline relative to full target (default 65%)</t>
        </is>
      </c>
    </row>
    <row r="19" ht="20" customHeight="1">
      <c r="B19" s="4" t="inlineStr">
        <is>
          <t>Check-In Start Year</t>
        </is>
      </c>
      <c r="C19" s="9" t="n">
        <v>2026</v>
      </c>
      <c r="D19" s="6" t="inlineStr">
        <is>
          <t>Sets the calendar year for your 12-month check-in ledger</t>
        </is>
      </c>
    </row>
    <row r="20" ht="20" customHeight="1">
      <c r="B20" s="4" t="inlineStr">
        <is>
          <t>Check-In Start Month (1 = Jan, 10 = Oct)</t>
        </is>
      </c>
      <c r="C20" s="9" t="n">
        <v>1</v>
      </c>
      <c r="D20" s="6" t="inlineStr">
        <is>
          <t>Rolls forward dynamically from your chosen start month</t>
        </is>
      </c>
    </row>
    <row r="22" ht="22" customHeight="1">
      <c r="B22" s="12" t="inlineStr">
        <is>
          <t>🎨 WORKBOOK GUARDRAILS &amp; COLOR CODES</t>
        </is>
      </c>
    </row>
    <row r="23" ht="19" customHeight="1">
      <c r="B23" s="4" t="inlineStr">
        <is>
          <t>🟩 GREEN CELLS</t>
        </is>
      </c>
      <c r="C23" s="5" t="inlineStr">
        <is>
          <t>Your Editable Inputs</t>
        </is>
      </c>
      <c r="D23" s="6" t="inlineStr">
        <is>
          <t>Enter your numbers here. All green cells are unlocked.</t>
        </is>
      </c>
    </row>
    <row r="24" ht="19" customHeight="1">
      <c r="B24" s="4" t="inlineStr">
        <is>
          <t>⬛ DARK / SLATE CELLS</t>
        </is>
      </c>
      <c r="C24" s="5" t="inlineStr">
        <is>
          <t>Protected Math Engine</t>
        </is>
      </c>
      <c r="D24" s="6" t="inlineStr">
        <is>
          <t>Formulas calculate automatically. Locked to prevent accidental breakage.</t>
        </is>
      </c>
    </row>
    <row r="25" ht="19" customHeight="1">
      <c r="B25" s="4" t="inlineStr">
        <is>
          <t>🟨 GOLD / AMBER CELLS</t>
        </is>
      </c>
      <c r="C25" s="5" t="inlineStr">
        <is>
          <t>Key Milestone Benchmarks</t>
        </is>
      </c>
      <c r="D25" s="6" t="inlineStr">
        <is>
          <t>Displays your Federal Reserve Rank, Wealth Tier, and FIRE status.</t>
        </is>
      </c>
    </row>
    <row r="27" ht="22" customHeight="1">
      <c r="B27" s="3" t="inlineStr">
        <is>
          <t>📖 TAB DIRECTORY &amp; WORKFLOW</t>
        </is>
      </c>
    </row>
    <row r="28" ht="19" customHeight="1">
      <c r="B28" s="4" t="inlineStr">
        <is>
          <t>1. START HERE</t>
        </is>
      </c>
      <c r="C28" s="5" t="inlineStr">
        <is>
          <t>Master setup area, user manual, methodology citations &amp; legal notices.</t>
        </is>
      </c>
      <c r="D28" s="13" t="n"/>
    </row>
    <row r="29" ht="19" customHeight="1">
      <c r="B29" s="4" t="inlineStr">
        <is>
          <t>2. Private Wealth Diagnostic</t>
        </is>
      </c>
      <c r="C29" s="5" t="inlineStr">
        <is>
          <t>Instant baseline: Stanley &amp; Danko PAW tier, leak audit &amp; true hourly wage.</t>
        </is>
      </c>
      <c r="D29" s="13" t="n"/>
    </row>
    <row r="30" ht="19" customHeight="1">
      <c r="B30" s="4" t="inlineStr">
        <is>
          <t>3. 2-Min Check-In</t>
        </is>
      </c>
      <c r="C30" s="5" t="inlineStr">
        <is>
          <t>Monthly routine: 4 numbers once a month with rolling open-ended calendar.</t>
        </is>
      </c>
      <c r="D30" s="13" t="n"/>
    </row>
    <row r="31" ht="19" customHeight="1">
      <c r="B31" s="4" t="inlineStr">
        <is>
          <t>4. Executive Dashboard</t>
        </is>
      </c>
      <c r="C31" s="5" t="inlineStr">
        <is>
          <t>Visual dashboard with dynamic Fed rank, FIRE counters, and trajectory chart.</t>
        </is>
      </c>
      <c r="D31" s="13" t="n"/>
    </row>
    <row r="32" ht="19" customHeight="1">
      <c r="B32" s="4" t="inlineStr">
        <is>
          <t>5. Smart Budget (50-30-20)</t>
        </is>
      </c>
      <c r="C32" s="5" t="inlineStr">
        <is>
          <t>Answers 'How much can I spend today guilt-free?' with live spending buffer.</t>
        </is>
      </c>
      <c r="D32" s="13" t="n"/>
    </row>
    <row r="33" ht="19" customHeight="1">
      <c r="B33" s="4" t="inlineStr">
        <is>
          <t>6. Statement &amp; Expense Ledger</t>
        </is>
      </c>
      <c r="C33" s="5" t="inlineStr">
        <is>
          <t>Private drop-zone for bank statements with live 50/30/20 summary cards.</t>
        </is>
      </c>
      <c r="D33" s="13" t="n"/>
    </row>
    <row r="34" ht="19" customHeight="1">
      <c r="B34" s="4" t="inlineStr">
        <is>
          <t>7. Sinking Funds Shield</t>
        </is>
      </c>
      <c r="C34" s="5" t="inlineStr">
        <is>
          <t>Target funds protecting against car repairs, travel, and annual shocks.</t>
        </is>
      </c>
      <c r="D34" s="13" t="n"/>
    </row>
    <row r="35" ht="19" customHeight="1">
      <c r="B35" s="4" t="inlineStr">
        <is>
          <t>8. FIRE Freedom Engine</t>
        </is>
      </c>
      <c r="C35" s="5" t="inlineStr">
        <is>
          <t>Coast, Lean, Standard &amp; Fat FIRE milestones with dynamic freedom date.</t>
        </is>
      </c>
      <c r="D35" s="13" t="n"/>
    </row>
    <row r="36" ht="19" customHeight="1">
      <c r="B36" s="4" t="inlineStr">
        <is>
          <t>9. Debt Accelerator</t>
        </is>
      </c>
      <c r="C36" s="5" t="inlineStr">
        <is>
          <t>Ranked Avalanche vs Snowball schedule with exact interest savings.</t>
        </is>
      </c>
      <c r="D36" s="13" t="n"/>
    </row>
    <row r="37" ht="19" customHeight="1">
      <c r="B37" s="4" t="inlineStr">
        <is>
          <t>10. Fed &amp; State Benchmarks</t>
        </is>
      </c>
      <c r="C37" s="5" t="inlineStr">
        <is>
          <t>Raw 2022 Federal Reserve SCF survey tables &amp; state cost-of-living index.</t>
        </is>
      </c>
      <c r="D37" s="13" t="n"/>
    </row>
    <row r="39" ht="22" customHeight="1">
      <c r="B39" s="7" t="inlineStr">
        <is>
          <t>⚖️ DATA SOURCING &amp; EDUCATIONAL DISCLAIMER</t>
        </is>
      </c>
    </row>
    <row r="40" ht="30" customHeight="1">
      <c r="B40" s="14"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cols>
    <col width="3" customWidth="1" min="1" max="1"/>
    <col width="34"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12" t="inlineStr">
        <is>
          <t>🎯 WEALTH ACCUMULATION TIER (READS FROM MASTER SETUP)</t>
        </is>
      </c>
    </row>
    <row r="6" ht="20" customHeight="1">
      <c r="B6" s="15" t="inlineStr">
        <is>
          <t>1. CURRENT AGE (FROM SETUP)</t>
        </is>
      </c>
      <c r="C6" s="15" t="inlineStr">
        <is>
          <t>2. ANNUAL PRE-TAX INCOME</t>
        </is>
      </c>
      <c r="D6" s="15" t="inlineStr">
        <is>
          <t>3. CURRENT NET WORTH (FROM CHECK-IN)</t>
        </is>
      </c>
    </row>
    <row r="7" ht="26" customHeight="1">
      <c r="B7" s="16">
        <f>'START HERE'!C12</f>
        <v/>
      </c>
      <c r="C7" s="17">
        <f>'START HERE'!C13</f>
        <v/>
      </c>
      <c r="D7" s="17">
        <f>'2-Min Check-In'!G17</f>
        <v/>
      </c>
    </row>
    <row r="9" ht="20" customHeight="1">
      <c r="B9" s="15" t="inlineStr">
        <is>
          <t>🏆 STANLEY &amp; DANKO WEALTH CLASS</t>
        </is>
      </c>
      <c r="C9" s="15" t="inlineStr">
        <is>
          <t>🎯 EXPECTED NET WORTH (AGE×INC/10)</t>
        </is>
      </c>
      <c r="D9" s="15" t="inlineStr">
        <is>
          <t>🚀 ACCUMULATION MULTIPLIER</t>
        </is>
      </c>
    </row>
    <row r="10" ht="26" customHeight="1">
      <c r="B10" s="18">
        <f>IF(B7&lt;=0, "Setup Required", IF(C10&lt;=0, "N/A", IF(D10&gt;=2.0, "PAW (Prodigious Accumulator of Wealth)", IF(D10&gt;=0.5, "AAW (Average Accumulator of Wealth)", "UAW (Under-Accumulator of Wealth)"))))</f>
        <v/>
      </c>
      <c r="C10" s="17">
        <f>IFERROR((B7*C7)/10, 0)</f>
        <v/>
      </c>
      <c r="D10" s="19">
        <f>IFERROR(D7/C10, 0)</f>
        <v/>
      </c>
    </row>
    <row r="13" ht="22" customHeight="1">
      <c r="B13" s="12"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22" t="inlineStr">
        <is>
          <t>Annual Work Commute Hours</t>
        </is>
      </c>
      <c r="C16" s="23" t="n"/>
    </row>
    <row r="17" ht="20" customHeight="1">
      <c r="B17" s="5" t="inlineStr">
        <is>
          <t>Annual Taxes &amp; Deductions (Est. 25%)</t>
        </is>
      </c>
      <c r="C17" s="20">
        <f>C14*0.25</f>
        <v/>
      </c>
    </row>
    <row r="18" ht="20" customHeight="1">
      <c r="B18" s="22" t="inlineStr">
        <is>
          <t>Annual Work-Related Expenses (Commute, Clothes, Food)</t>
        </is>
      </c>
      <c r="C18" s="24" t="n"/>
    </row>
    <row r="19" ht="20" customHeight="1">
      <c r="B19" s="5" t="inlineStr">
        <is>
          <t>Net Real Annual Take-Home Cash</t>
        </is>
      </c>
      <c r="C19" s="20">
        <f>C14-C17-C18</f>
        <v/>
      </c>
    </row>
    <row r="20" ht="20" customHeight="1">
      <c r="B20" s="5" t="inlineStr">
        <is>
          <t>Total Real Life Energy Hours Dedicated</t>
        </is>
      </c>
      <c r="C20" s="21">
        <f>C15+C16</f>
        <v/>
      </c>
    </row>
    <row r="21" ht="20" customHeight="1">
      <c r="B21" s="4" t="inlineStr">
        <is>
          <t>⭐ TRUE HOURLY LIFE ENERGY WAGE</t>
        </is>
      </c>
      <c r="C21" s="25">
        <f>IFERROR(C19/C20,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6" t="inlineStr">
        <is>
          <t>Month / Period</t>
        </is>
      </c>
      <c r="C5" s="27" t="inlineStr">
        <is>
          <t>💵 Cash &amp; Savings</t>
        </is>
      </c>
      <c r="D5" s="27" t="inlineStr">
        <is>
          <t>📈 Invested Portfolio</t>
        </is>
      </c>
      <c r="E5" s="27" t="inlineStr">
        <is>
          <t>🏠 Property &amp; Assets</t>
        </is>
      </c>
      <c r="F5" s="27" t="inlineStr">
        <is>
          <t>💳 Total Debts</t>
        </is>
      </c>
      <c r="G5" s="28" t="inlineStr">
        <is>
          <t>🏛️ TOTAL NET WORTH</t>
        </is>
      </c>
      <c r="H5" s="26" t="inlineStr">
        <is>
          <t>MoM Gain ($)</t>
        </is>
      </c>
      <c r="I5" s="26" t="inlineStr">
        <is>
          <t>Growth (%)</t>
        </is>
      </c>
      <c r="J5" s="26" t="inlineStr">
        <is>
          <t>💧 Liquid Net Worth</t>
        </is>
      </c>
      <c r="K5" s="26" t="inlineStr">
        <is>
          <t>Liquid Ratio</t>
        </is>
      </c>
    </row>
    <row r="6" ht="20" customHeight="1">
      <c r="B6" s="29">
        <f>DATE('START HERE'!C19, 'START HERE'!C20, 1)</f>
        <v/>
      </c>
      <c r="C6" s="30" t="n"/>
      <c r="D6" s="30" t="n"/>
      <c r="E6" s="30" t="n"/>
      <c r="F6" s="30" t="n"/>
      <c r="G6" s="31">
        <f>(C6+D6+E6)-F6</f>
        <v/>
      </c>
      <c r="H6" s="32" t="n">
        <v>0</v>
      </c>
      <c r="I6" s="33" t="n">
        <v>0</v>
      </c>
      <c r="J6" s="20">
        <f>C6+D6</f>
        <v/>
      </c>
      <c r="K6" s="34">
        <f>IFERROR(J6/G6, 0)</f>
        <v/>
      </c>
    </row>
    <row r="7" ht="20" customHeight="1">
      <c r="B7" s="29">
        <f>EDATE(B6, 1)</f>
        <v/>
      </c>
      <c r="C7" s="30" t="n"/>
      <c r="D7" s="30" t="n"/>
      <c r="E7" s="30" t="n"/>
      <c r="F7" s="30" t="n"/>
      <c r="G7" s="31">
        <f>(C7+D7+E7)-F7</f>
        <v/>
      </c>
      <c r="H7" s="32">
        <f>G7-G6</f>
        <v/>
      </c>
      <c r="I7" s="33">
        <f>IFERROR((G7-G6)/G6, 0)</f>
        <v/>
      </c>
      <c r="J7" s="20">
        <f>C7+D7</f>
        <v/>
      </c>
      <c r="K7" s="34">
        <f>IFERROR(J7/G7, 0)</f>
        <v/>
      </c>
    </row>
    <row r="8" ht="20" customHeight="1">
      <c r="B8" s="29">
        <f>EDATE(B7, 1)</f>
        <v/>
      </c>
      <c r="C8" s="30" t="n"/>
      <c r="D8" s="30" t="n"/>
      <c r="E8" s="30" t="n"/>
      <c r="F8" s="30" t="n"/>
      <c r="G8" s="31">
        <f>(C8+D8+E8)-F8</f>
        <v/>
      </c>
      <c r="H8" s="32">
        <f>G8-G7</f>
        <v/>
      </c>
      <c r="I8" s="33">
        <f>IFERROR((G8-G7)/G7, 0)</f>
        <v/>
      </c>
      <c r="J8" s="20">
        <f>C8+D8</f>
        <v/>
      </c>
      <c r="K8" s="34">
        <f>IFERROR(J8/G8, 0)</f>
        <v/>
      </c>
    </row>
    <row r="9" ht="20" customHeight="1">
      <c r="B9" s="29">
        <f>EDATE(B8, 1)</f>
        <v/>
      </c>
      <c r="C9" s="30" t="n"/>
      <c r="D9" s="30" t="n"/>
      <c r="E9" s="30" t="n"/>
      <c r="F9" s="30" t="n"/>
      <c r="G9" s="31">
        <f>(C9+D9+E9)-F9</f>
        <v/>
      </c>
      <c r="H9" s="32">
        <f>G9-G8</f>
        <v/>
      </c>
      <c r="I9" s="33">
        <f>IFERROR((G9-G8)/G8, 0)</f>
        <v/>
      </c>
      <c r="J9" s="20">
        <f>C9+D9</f>
        <v/>
      </c>
      <c r="K9" s="34">
        <f>IFERROR(J9/G9, 0)</f>
        <v/>
      </c>
    </row>
    <row r="10" ht="20" customHeight="1">
      <c r="B10" s="29">
        <f>EDATE(B9, 1)</f>
        <v/>
      </c>
      <c r="C10" s="30" t="n"/>
      <c r="D10" s="30" t="n"/>
      <c r="E10" s="30" t="n"/>
      <c r="F10" s="30" t="n"/>
      <c r="G10" s="31">
        <f>(C10+D10+E10)-F10</f>
        <v/>
      </c>
      <c r="H10" s="32">
        <f>G10-G9</f>
        <v/>
      </c>
      <c r="I10" s="33">
        <f>IFERROR((G10-G9)/G9, 0)</f>
        <v/>
      </c>
      <c r="J10" s="20">
        <f>C10+D10</f>
        <v/>
      </c>
      <c r="K10" s="34">
        <f>IFERROR(J10/G10, 0)</f>
        <v/>
      </c>
    </row>
    <row r="11" ht="20" customHeight="1">
      <c r="B11" s="29">
        <f>EDATE(B10, 1)</f>
        <v/>
      </c>
      <c r="C11" s="30" t="n"/>
      <c r="D11" s="30" t="n"/>
      <c r="E11" s="30" t="n"/>
      <c r="F11" s="30" t="n"/>
      <c r="G11" s="31">
        <f>(C11+D11+E11)-F11</f>
        <v/>
      </c>
      <c r="H11" s="32">
        <f>G11-G10</f>
        <v/>
      </c>
      <c r="I11" s="33">
        <f>IFERROR((G11-G10)/G10, 0)</f>
        <v/>
      </c>
      <c r="J11" s="20">
        <f>C11+D11</f>
        <v/>
      </c>
      <c r="K11" s="34">
        <f>IFERROR(J11/G11, 0)</f>
        <v/>
      </c>
    </row>
    <row r="12" ht="20" customHeight="1">
      <c r="B12" s="29">
        <f>EDATE(B11, 1)</f>
        <v/>
      </c>
      <c r="C12" s="30" t="n"/>
      <c r="D12" s="30" t="n"/>
      <c r="E12" s="30" t="n"/>
      <c r="F12" s="30" t="n"/>
      <c r="G12" s="31">
        <f>(C12+D12+E12)-F12</f>
        <v/>
      </c>
      <c r="H12" s="32">
        <f>G12-G11</f>
        <v/>
      </c>
      <c r="I12" s="33">
        <f>IFERROR((G12-G11)/G11, 0)</f>
        <v/>
      </c>
      <c r="J12" s="20">
        <f>C12+D12</f>
        <v/>
      </c>
      <c r="K12" s="34">
        <f>IFERROR(J12/G12, 0)</f>
        <v/>
      </c>
    </row>
    <row r="13" ht="20" customHeight="1">
      <c r="B13" s="29">
        <f>EDATE(B12, 1)</f>
        <v/>
      </c>
      <c r="C13" s="30" t="n"/>
      <c r="D13" s="30" t="n"/>
      <c r="E13" s="30" t="n"/>
      <c r="F13" s="30" t="n"/>
      <c r="G13" s="31">
        <f>(C13+D13+E13)-F13</f>
        <v/>
      </c>
      <c r="H13" s="32">
        <f>G13-G12</f>
        <v/>
      </c>
      <c r="I13" s="33">
        <f>IFERROR((G13-G12)/G12, 0)</f>
        <v/>
      </c>
      <c r="J13" s="20">
        <f>C13+D13</f>
        <v/>
      </c>
      <c r="K13" s="34">
        <f>IFERROR(J13/G13, 0)</f>
        <v/>
      </c>
    </row>
    <row r="14" ht="20" customHeight="1">
      <c r="B14" s="29">
        <f>EDATE(B13, 1)</f>
        <v/>
      </c>
      <c r="C14" s="30" t="n"/>
      <c r="D14" s="30" t="n"/>
      <c r="E14" s="30" t="n"/>
      <c r="F14" s="30" t="n"/>
      <c r="G14" s="31">
        <f>(C14+D14+E14)-F14</f>
        <v/>
      </c>
      <c r="H14" s="32">
        <f>G14-G13</f>
        <v/>
      </c>
      <c r="I14" s="33">
        <f>IFERROR((G14-G13)/G13, 0)</f>
        <v/>
      </c>
      <c r="J14" s="20">
        <f>C14+D14</f>
        <v/>
      </c>
      <c r="K14" s="34">
        <f>IFERROR(J14/G14, 0)</f>
        <v/>
      </c>
    </row>
    <row r="15" ht="20" customHeight="1">
      <c r="B15" s="29">
        <f>EDATE(B14, 1)</f>
        <v/>
      </c>
      <c r="C15" s="30" t="n"/>
      <c r="D15" s="30" t="n"/>
      <c r="E15" s="30" t="n"/>
      <c r="F15" s="30" t="n"/>
      <c r="G15" s="31">
        <f>(C15+D15+E15)-F15</f>
        <v/>
      </c>
      <c r="H15" s="32">
        <f>G15-G14</f>
        <v/>
      </c>
      <c r="I15" s="33">
        <f>IFERROR((G15-G14)/G14, 0)</f>
        <v/>
      </c>
      <c r="J15" s="20">
        <f>C15+D15</f>
        <v/>
      </c>
      <c r="K15" s="34">
        <f>IFERROR(J15/G15, 0)</f>
        <v/>
      </c>
    </row>
    <row r="16" ht="20" customHeight="1">
      <c r="B16" s="29">
        <f>EDATE(B15, 1)</f>
        <v/>
      </c>
      <c r="C16" s="30" t="n"/>
      <c r="D16" s="30" t="n"/>
      <c r="E16" s="30" t="n"/>
      <c r="F16" s="30" t="n"/>
      <c r="G16" s="31">
        <f>(C16+D16+E16)-F16</f>
        <v/>
      </c>
      <c r="H16" s="32">
        <f>G16-G15</f>
        <v/>
      </c>
      <c r="I16" s="33">
        <f>IFERROR((G16-G15)/G15, 0)</f>
        <v/>
      </c>
      <c r="J16" s="20">
        <f>C16+D16</f>
        <v/>
      </c>
      <c r="K16" s="34">
        <f>IFERROR(J16/G16, 0)</f>
        <v/>
      </c>
    </row>
    <row r="17" ht="20" customHeight="1">
      <c r="B17" s="29">
        <f>EDATE(B16, 1)</f>
        <v/>
      </c>
      <c r="C17" s="30" t="n"/>
      <c r="D17" s="30" t="n"/>
      <c r="E17" s="30" t="n"/>
      <c r="F17" s="30" t="n"/>
      <c r="G17" s="31">
        <f>(C17+D17+E17)-F17</f>
        <v/>
      </c>
      <c r="H17" s="32">
        <f>G17-G16</f>
        <v/>
      </c>
      <c r="I17" s="33">
        <f>IFERROR((G17-G16)/G16, 0)</f>
        <v/>
      </c>
      <c r="J17" s="20">
        <f>C17+D17</f>
        <v/>
      </c>
      <c r="K17" s="34">
        <f>IFERROR(J17/G17, 0)</f>
        <v/>
      </c>
    </row>
    <row r="18" ht="22" customHeight="1">
      <c r="B18" s="35" t="inlineStr">
        <is>
          <t>ANNUAL SUMMARY</t>
        </is>
      </c>
      <c r="C18" s="36">
        <f>AVERAGE(C6:C17)</f>
        <v/>
      </c>
      <c r="D18" s="36">
        <f>AVERAGE(D6:D17)</f>
        <v/>
      </c>
      <c r="E18" s="36">
        <f>AVERAGE(E6:E17)</f>
        <v/>
      </c>
      <c r="F18" s="36">
        <f>AVERAGE(F6:F17)</f>
        <v/>
      </c>
      <c r="G18" s="37">
        <f>G17</f>
        <v/>
      </c>
      <c r="H18" s="38">
        <f>G17-G6</f>
        <v/>
      </c>
      <c r="I18" s="39">
        <f>IFERROR((G17-G6)/G6, 0)</f>
        <v/>
      </c>
      <c r="J18" s="40">
        <f>J17</f>
        <v/>
      </c>
      <c r="K18" s="41">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cols>
    <col width="3" customWidth="1" min="1" max="1"/>
    <col width="22" customWidth="1" min="2" max="2"/>
    <col width="18" customWidth="1" min="3" max="3"/>
    <col width="22" customWidth="1" min="4" max="4"/>
    <col width="18"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2" t="inlineStr">
        <is>
          <t>TOTAL NET WORTH (LATEST)</t>
        </is>
      </c>
      <c r="C5" s="13" t="n"/>
      <c r="D5" s="42" t="inlineStr">
        <is>
          <t>LIQUID INVESTED PORTFOLIO</t>
        </is>
      </c>
      <c r="E5" s="13" t="n"/>
      <c r="F5" s="42" t="inlineStr">
        <is>
          <t>FED SCF RANK (DYNAMIC FORMULA)</t>
        </is>
      </c>
    </row>
    <row r="6">
      <c r="B6" s="43">
        <f>'2-Min Check-In'!G17</f>
        <v/>
      </c>
      <c r="C6" s="13" t="n"/>
      <c r="D6" s="43">
        <f>'2-Min Check-In'!J17</f>
        <v/>
      </c>
      <c r="E6" s="13" t="n"/>
      <c r="F6" s="44">
        <f>IF(B6&gt;=1000000, "Top 18% (Millionaire)", IF(B6&gt;=500000, "Top 25% (High Wealth)", IF(B6&gt;=250000, "Top 35% (Above Avg)", IF(B6&gt;=135000, "Top 50% (Median+)", "Lower 50%"))))</f>
        <v/>
      </c>
    </row>
    <row r="7">
      <c r="B7" s="45">
        <f>'2-Min Check-In'!H18</f>
        <v/>
      </c>
      <c r="C7" s="13" t="n"/>
      <c r="D7" s="46">
        <f>'2-Min Check-In'!K17</f>
        <v/>
      </c>
      <c r="E7" s="13" t="n"/>
      <c r="F7" s="47">
        <f>'START HERE'!C12</f>
        <v/>
      </c>
    </row>
    <row r="9" ht="22" customHeight="1">
      <c r="B9" s="7" t="inlineStr">
        <is>
          <t>🏆 STANLEY &amp; DANKO WEALTH ACCUMULATION ENGINE (LIVE FORMULAS)</t>
        </is>
      </c>
    </row>
    <row r="10" ht="19" customHeight="1">
      <c r="B10" s="48" t="inlineStr">
        <is>
          <t>Current Age</t>
        </is>
      </c>
      <c r="C10" s="48" t="inlineStr">
        <is>
          <t>Pre-Tax Income</t>
        </is>
      </c>
      <c r="D10" s="48" t="inlineStr">
        <is>
          <t>Expected Net Worth</t>
        </is>
      </c>
      <c r="E10" s="48" t="inlineStr">
        <is>
          <t>Multiplier</t>
        </is>
      </c>
      <c r="F10" s="48" t="inlineStr">
        <is>
          <t>Wealth Status</t>
        </is>
      </c>
    </row>
    <row r="11" ht="24" customHeight="1">
      <c r="B11" s="49">
        <f>'START HERE'!C12</f>
        <v/>
      </c>
      <c r="C11" s="50">
        <f>'START HERE'!C13</f>
        <v/>
      </c>
      <c r="D11" s="50">
        <f>(B11*C11)/10</f>
        <v/>
      </c>
      <c r="E11" s="51">
        <f>IFERROR(B6/D11, 0)</f>
        <v/>
      </c>
      <c r="F11" s="52">
        <f>IF(B11&lt;=0, "Setup Required", IF(E11&gt;=2.0, "PAW (Top 10%)", IF(E11&gt;=0.5, "AAW (Solid Average)", "UAW (Under)"))))</f>
        <v/>
      </c>
    </row>
    <row r="13" ht="22" customHeight="1">
      <c r="B13" s="7" t="inlineStr">
        <is>
          <t>🔥 FINANCIAL INDEPENDENCE (FIRE) READINESS (LIVE FORMULAS)</t>
        </is>
      </c>
    </row>
    <row r="14" ht="19" customHeight="1">
      <c r="B14" s="48" t="inlineStr">
        <is>
          <t>Lean FIRE Target</t>
        </is>
      </c>
      <c r="C14" s="48" t="inlineStr">
        <is>
          <t>Standard FIRE (4%)</t>
        </is>
      </c>
      <c r="D14" s="48" t="inlineStr">
        <is>
          <t>Coast FIRE Target</t>
        </is>
      </c>
      <c r="E14" s="48" t="inlineStr">
        <is>
          <t>Freedom Date</t>
        </is>
      </c>
    </row>
    <row r="15" ht="24" customHeight="1">
      <c r="B15" s="53">
        <f>'FIRE Freedom Engine'!C13</f>
        <v/>
      </c>
      <c r="C15" s="53">
        <f>'FIRE Freedom Engine'!C14</f>
        <v/>
      </c>
      <c r="D15" s="53">
        <f>'FIRE Freedom Engine'!C16</f>
        <v/>
      </c>
      <c r="E15" s="54">
        <f>'FIRE Freedom Engine'!C22</f>
        <v/>
      </c>
    </row>
    <row r="16" ht="18" customHeight="1">
      <c r="B16" s="55">
        <f>IFERROR(B6/B15, 0)</f>
        <v/>
      </c>
      <c r="C16" s="55">
        <f>IFERROR(B6/C15, 0)</f>
        <v/>
      </c>
      <c r="D16" s="56">
        <f>IF(D15&lt;=0, "Setup Required", IF(D6&gt;=D15, "✅ COAST REACHED", "SAVING IN PROGRESS"))</f>
        <v/>
      </c>
      <c r="E16" s="57">
        <f>'FIRE Freedom Engine'!C21</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6"/>
  <sheetViews>
    <sheetView showGridLines="1" workbookViewId="0">
      <selection activeCell="A1" sqref="A1"/>
    </sheetView>
  </sheetViews>
  <sheetFormatPr baseColWidth="8" defaultRowHeight="15"/>
  <cols>
    <col width="3" customWidth="1" min="1" max="1"/>
    <col width="30"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8" t="inlineStr">
        <is>
          <t>🟢 REMAINING GUILT-FREE SPENDING BUFFER</t>
        </is>
      </c>
      <c r="C5" s="13" t="n"/>
      <c r="D5" s="13" t="n"/>
      <c r="E5" s="42" t="inlineStr">
        <is>
          <t>SAFE DAILY ALLOWANCE (30-DAY BUFFER)</t>
        </is>
      </c>
      <c r="F5" s="13" t="n"/>
    </row>
    <row r="6">
      <c r="B6" s="59">
        <f>E28</f>
        <v/>
      </c>
      <c r="C6" s="13" t="n"/>
      <c r="D6" s="13" t="n"/>
      <c r="E6" s="60">
        <f>IFERROR(E28/30, 0)</f>
        <v/>
      </c>
      <c r="F6" s="13" t="n"/>
    </row>
    <row r="8" ht="20" customHeight="1">
      <c r="B8" s="15" t="inlineStr">
        <is>
          <t>Cash Flow Category</t>
        </is>
      </c>
      <c r="C8" s="15" t="inlineStr">
        <is>
          <t>Planned ($)</t>
        </is>
      </c>
      <c r="D8" s="15" t="inlineStr">
        <is>
          <t>Actual ($)</t>
        </is>
      </c>
      <c r="E8" s="15" t="inlineStr">
        <is>
          <t>Remaining ($)</t>
        </is>
      </c>
      <c r="F8" s="15" t="inlineStr">
        <is>
          <t>50/30/20 Benchmark</t>
        </is>
      </c>
    </row>
    <row r="9">
      <c r="B9" s="61" t="inlineStr">
        <is>
          <t>📥 MONTHLY TAKE-HOME INCOME</t>
        </is>
      </c>
    </row>
    <row r="10" ht="19" customHeight="1">
      <c r="B10" s="5" t="inlineStr">
        <is>
          <t>Primary Salary / Take-Home</t>
        </is>
      </c>
      <c r="C10" s="10" t="n"/>
      <c r="D10" s="10" t="n"/>
      <c r="E10" s="62">
        <f>D10-C10</f>
        <v/>
      </c>
      <c r="F10" s="6" t="inlineStr">
        <is>
          <t>Inflow</t>
        </is>
      </c>
    </row>
    <row r="11" ht="19" customHeight="1">
      <c r="B11" s="5" t="inlineStr">
        <is>
          <t>Partner / Secondary Income</t>
        </is>
      </c>
      <c r="C11" s="10" t="n"/>
      <c r="D11" s="10" t="n"/>
      <c r="E11" s="62">
        <f>D11-C11</f>
        <v/>
      </c>
      <c r="F11" s="6" t="inlineStr">
        <is>
          <t>Inflow</t>
        </is>
      </c>
    </row>
    <row r="12" ht="19" customHeight="1">
      <c r="B12" s="5" t="inlineStr">
        <is>
          <t>Side Hustles / Dividends</t>
        </is>
      </c>
      <c r="C12" s="10" t="n"/>
      <c r="D12" s="10" t="n"/>
      <c r="E12" s="62">
        <f>D12-C12</f>
        <v/>
      </c>
      <c r="F12" s="6" t="inlineStr">
        <is>
          <t>Inflow</t>
        </is>
      </c>
    </row>
    <row r="13">
      <c r="B13" s="63" t="inlineStr">
        <is>
          <t>TOTAL MONTHLY NET INCOME</t>
        </is>
      </c>
      <c r="C13" s="64">
        <f>SUM(C10:C12)</f>
        <v/>
      </c>
      <c r="D13" s="64">
        <f>SUM(D10:D12)</f>
        <v/>
      </c>
      <c r="E13" s="64">
        <f>D13-C13</f>
        <v/>
      </c>
      <c r="F13" s="65" t="inlineStr">
        <is>
          <t>100% Baseline</t>
        </is>
      </c>
    </row>
    <row r="15">
      <c r="B15" s="66" t="inlineStr">
        <is>
          <t>🛡️ 50% ESSENTIAL NEEDS (HOUSING, FOOD, UTILITIES, MIN DEBT)</t>
        </is>
      </c>
    </row>
    <row r="16" ht="19" customHeight="1">
      <c r="B16" s="5" t="inlineStr">
        <is>
          <t>Rent / Mortgage Payment</t>
        </is>
      </c>
      <c r="C16" s="10" t="n"/>
      <c r="D16" s="10" t="n"/>
      <c r="E16" s="62">
        <f>C16-D16</f>
        <v/>
      </c>
      <c r="F16" s="6" t="inlineStr">
        <is>
          <t>Needs</t>
        </is>
      </c>
    </row>
    <row r="17" ht="19" customHeight="1">
      <c r="B17" s="5" t="inlineStr">
        <is>
          <t>Groceries &amp; Household Staples</t>
        </is>
      </c>
      <c r="C17" s="10" t="n"/>
      <c r="D17" s="10" t="n"/>
      <c r="E17" s="62">
        <f>C17-D17</f>
        <v/>
      </c>
      <c r="F17" s="6" t="inlineStr">
        <is>
          <t>Needs</t>
        </is>
      </c>
    </row>
    <row r="18" ht="19" customHeight="1">
      <c r="B18" s="5" t="inlineStr">
        <is>
          <t>Utilities, Electric &amp; Internet</t>
        </is>
      </c>
      <c r="C18" s="10" t="n"/>
      <c r="D18" s="10" t="n"/>
      <c r="E18" s="62">
        <f>C18-D18</f>
        <v/>
      </c>
      <c r="F18" s="6" t="inlineStr">
        <is>
          <t>Needs</t>
        </is>
      </c>
    </row>
    <row r="19" ht="19" customHeight="1">
      <c r="B19" s="5" t="inlineStr">
        <is>
          <t>Transportation, Gas &amp; Transit</t>
        </is>
      </c>
      <c r="C19" s="10" t="n"/>
      <c r="D19" s="10" t="n"/>
      <c r="E19" s="62">
        <f>C19-D19</f>
        <v/>
      </c>
      <c r="F19" s="6" t="inlineStr">
        <is>
          <t>Needs</t>
        </is>
      </c>
    </row>
    <row r="20" ht="19" customHeight="1">
      <c r="B20" s="5" t="inlineStr">
        <is>
          <t>Healthcare, Insurance &amp; Prescriptions</t>
        </is>
      </c>
      <c r="C20" s="10" t="n"/>
      <c r="D20" s="10" t="n"/>
      <c r="E20" s="62">
        <f>C20-D20</f>
        <v/>
      </c>
      <c r="F20" s="6" t="inlineStr">
        <is>
          <t>Needs</t>
        </is>
      </c>
    </row>
    <row r="21">
      <c r="B21" s="63" t="inlineStr">
        <is>
          <t>SUBTOTAL: 50% NEEDS</t>
        </is>
      </c>
      <c r="C21" s="64">
        <f>SUM(C16:C20)</f>
        <v/>
      </c>
      <c r="D21" s="64">
        <f>SUM(D16:D20)</f>
        <v/>
      </c>
      <c r="E21" s="64">
        <f>C21-D21</f>
        <v/>
      </c>
      <c r="F21" s="67">
        <f>IFERROR(D21/D13, 0)</f>
        <v/>
      </c>
    </row>
    <row r="23">
      <c r="B23" s="66" t="inlineStr">
        <is>
          <t>🎉 30% DISCRETIONARY WANTS (DINING, STREAMING, HOBBIES)</t>
        </is>
      </c>
    </row>
    <row r="24" ht="19" customHeight="1">
      <c r="B24" s="5" t="inlineStr">
        <is>
          <t>Dining Out, Takeout &amp; Cafes</t>
        </is>
      </c>
      <c r="C24" s="10" t="n"/>
      <c r="D24" s="10" t="n"/>
      <c r="E24" s="62">
        <f>C24-D24</f>
        <v/>
      </c>
      <c r="F24" s="6" t="inlineStr">
        <is>
          <t>Wants</t>
        </is>
      </c>
    </row>
    <row r="25" ht="19" customHeight="1">
      <c r="B25" s="5" t="inlineStr">
        <is>
          <t>Subscriptions, Gym &amp; Digital Apps</t>
        </is>
      </c>
      <c r="C25" s="10" t="n"/>
      <c r="D25" s="10" t="n"/>
      <c r="E25" s="62">
        <f>C25-D25</f>
        <v/>
      </c>
      <c r="F25" s="6" t="inlineStr">
        <is>
          <t>Wants</t>
        </is>
      </c>
    </row>
    <row r="26" ht="19" customHeight="1">
      <c r="B26" s="5" t="inlineStr">
        <is>
          <t>Shopping, Apparel &amp; Entertainment</t>
        </is>
      </c>
      <c r="C26" s="10" t="n"/>
      <c r="D26" s="10" t="n"/>
      <c r="E26" s="62">
        <f>C26-D26</f>
        <v/>
      </c>
      <c r="F26" s="6" t="inlineStr">
        <is>
          <t>Wants</t>
        </is>
      </c>
    </row>
    <row r="27" ht="19" customHeight="1">
      <c r="B27" s="5" t="inlineStr">
        <is>
          <t>Weekend Hobbies &amp; Social Travel</t>
        </is>
      </c>
      <c r="C27" s="10" t="n"/>
      <c r="D27" s="10" t="n"/>
      <c r="E27" s="62">
        <f>C27-D27</f>
        <v/>
      </c>
      <c r="F27" s="6" t="inlineStr">
        <is>
          <t>Wants</t>
        </is>
      </c>
    </row>
    <row r="28">
      <c r="B28" s="63" t="inlineStr">
        <is>
          <t>SUBTOTAL: 30% WANTS</t>
        </is>
      </c>
      <c r="C28" s="64">
        <f>SUM(C24:C27)</f>
        <v/>
      </c>
      <c r="D28" s="64">
        <f>SUM(D24:D27)</f>
        <v/>
      </c>
      <c r="E28" s="64">
        <f>C28-D28</f>
        <v/>
      </c>
      <c r="F28" s="68">
        <f>IFERROR(D28/D13, 0)</f>
        <v/>
      </c>
    </row>
    <row r="30">
      <c r="B30" s="61" t="inlineStr">
        <is>
          <t>🚀 20% WEALTH SURPLUS (INVESTMENTS, SINKING FUNDS, EXTRA DEBT)</t>
        </is>
      </c>
    </row>
    <row r="31" ht="19" customHeight="1">
      <c r="B31" s="5" t="inlineStr">
        <is>
          <t>Roth IRA / 401(k) / Index Funds</t>
        </is>
      </c>
      <c r="C31" s="10" t="n"/>
      <c r="D31" s="10" t="n"/>
      <c r="E31" s="62">
        <f>C31-D31</f>
        <v/>
      </c>
      <c r="F31" s="6" t="inlineStr">
        <is>
          <t>Wealth</t>
        </is>
      </c>
    </row>
    <row r="32" ht="19" customHeight="1">
      <c r="B32" s="5" t="inlineStr">
        <is>
          <t>Sinking Funds Defense Pool</t>
        </is>
      </c>
      <c r="C32" s="10" t="n"/>
      <c r="D32" s="10" t="n"/>
      <c r="E32" s="62">
        <f>C32-D32</f>
        <v/>
      </c>
      <c r="F32" s="6" t="inlineStr">
        <is>
          <t>Wealth</t>
        </is>
      </c>
    </row>
    <row r="33" ht="19" customHeight="1">
      <c r="B33" s="5" t="inlineStr">
        <is>
          <t>Extra Debt Payoff Accelerator</t>
        </is>
      </c>
      <c r="C33" s="10" t="n"/>
      <c r="D33" s="10" t="n"/>
      <c r="E33" s="62">
        <f>C33-D33</f>
        <v/>
      </c>
      <c r="F33" s="6" t="inlineStr">
        <is>
          <t>Wealth</t>
        </is>
      </c>
    </row>
    <row r="34">
      <c r="B34" s="63" t="inlineStr">
        <is>
          <t>SUBTOTAL: 20% WEALTH</t>
        </is>
      </c>
      <c r="C34" s="64">
        <f>SUM(C31:C33)</f>
        <v/>
      </c>
      <c r="D34" s="64">
        <f>SUM(D31:D33)</f>
        <v/>
      </c>
      <c r="E34" s="64">
        <f>C34-D34</f>
        <v/>
      </c>
      <c r="F34" s="69">
        <f>IFERROR(D34/D13, 0)</f>
        <v/>
      </c>
    </row>
    <row r="36" ht="24" customHeight="1">
      <c r="B36" s="35" t="inlineStr">
        <is>
          <t>🎯 MONTHLY NET CASH FLOW SURPLUS / DEFICIT</t>
        </is>
      </c>
      <c r="C36" s="40">
        <f>C13-(C21+C28+C34)</f>
        <v/>
      </c>
      <c r="D36" s="40">
        <f>D13-(D21+D28+D34)</f>
        <v/>
      </c>
      <c r="E36" s="40">
        <f>D36-C36</f>
        <v/>
      </c>
      <c r="F36" s="70">
        <f>IF(D36&gt;=0, "✅ CASH SURPLUS", "⚠️ CASH DEFICIT")</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13"/>
  <sheetViews>
    <sheetView showGridLines="1" workbookViewId="0">
      <selection activeCell="A1" sqref="A1"/>
    </sheetView>
  </sheetViews>
  <sheetFormatPr baseColWidth="8" defaultRowHeight="15"/>
  <cols>
    <col width="3" customWidth="1" min="1" max="1"/>
    <col width="14" customWidth="1" min="2" max="2"/>
    <col width="34" customWidth="1" min="3" max="3"/>
    <col width="16" customWidth="1" min="4" max="4"/>
    <col width="22" customWidth="1" min="5" max="5"/>
    <col width="20" customWidth="1" min="6" max="6"/>
    <col width="3" customWidth="1" min="7" max="7"/>
  </cols>
  <sheetData>
    <row r="2" ht="28" customHeight="1">
      <c r="B2" s="1" t="inlineStr">
        <is>
          <t>💳 BANK STATEMENT &amp; EXPENSE INTELLIGENCE LEDGER</t>
        </is>
      </c>
    </row>
    <row r="3" ht="20" customHeight="1">
      <c r="B3" s="2" t="inlineStr">
        <is>
          <t>Step 1: Convert bank PDF at getnetworthcalculator.com/tools/statement-converter ➔ Step 2: 1-Click Copy ➔ Step 3: Paste into B14</t>
        </is>
      </c>
    </row>
    <row r="5" ht="20" customHeight="1">
      <c r="B5" s="7" t="inlineStr">
        <is>
          <t>📊 INGESTED STATEMENT INTELLIGENCE (LIVE TOTALS FROM TRANSACTIONS)</t>
        </is>
      </c>
    </row>
    <row r="6" ht="18" customHeight="1">
      <c r="B6" s="42" t="inlineStr">
        <is>
          <t>TOTAL INFLOWS</t>
        </is>
      </c>
      <c r="C6" s="42" t="inlineStr">
        <is>
          <t>TOTAL OUTFLOWS (SPENT)</t>
        </is>
      </c>
      <c r="D6" s="42" t="inlineStr">
        <is>
          <t>NET MONTHLY CASH FLOW</t>
        </is>
      </c>
      <c r="E6" s="42" t="inlineStr">
        <is>
          <t>50% NEEDS OUTFLOW</t>
        </is>
      </c>
      <c r="F6" s="42" t="inlineStr">
        <is>
          <t>30% WANTS OUTFLOW</t>
        </is>
      </c>
    </row>
    <row r="7" ht="24" customHeight="1">
      <c r="B7" s="71">
        <f>SUMIF(F14:F300, "*Inflow*", D14:D300)</f>
        <v/>
      </c>
      <c r="C7" s="72">
        <f>SUMIFS(D14:D300, F14:F300, "&lt;&gt;*Inflow*", D14:D300, "&gt;0")</f>
        <v/>
      </c>
      <c r="D7" s="71">
        <f>B7-C7</f>
        <v/>
      </c>
      <c r="E7" s="72">
        <f>SUMIF(F14:F300, "*Needs*", D14:D300)</f>
        <v/>
      </c>
      <c r="F7" s="72">
        <f>SUMIF(F14:F300, "*Wants*", D14:D300)</f>
        <v/>
      </c>
    </row>
    <row r="8" ht="18" customHeight="1">
      <c r="B8" s="73" t="inlineStr">
        <is>
          <t>Salary &amp; Direct Deposits</t>
        </is>
      </c>
      <c r="C8" s="73" t="inlineStr">
        <is>
          <t>All Categories</t>
        </is>
      </c>
      <c r="D8" s="73">
        <f>IF(D7&gt;=0, "✅ Net Surplus", "⚠️ Net Deficit")</f>
        <v/>
      </c>
      <c r="E8" s="74">
        <f>IFERROR(E7/C7, 0)</f>
        <v/>
      </c>
      <c r="F8" s="74">
        <f>IFERROR(F7/C7, 0)</f>
        <v/>
      </c>
    </row>
    <row r="10" ht="20" customHeight="1">
      <c r="B10" s="61" t="inlineStr">
        <is>
          <t>🚀 HOW TO INGEST YOUR BANK TRANSACTIONS IN 10 SECONDS:</t>
        </is>
      </c>
    </row>
    <row r="11" ht="22" customHeight="1">
      <c r="B11" s="75" t="inlineStr">
        <is>
          <t>1. Open private converter: getnetworthcalculator.com/tools/statement-converter (100% private, client-side only). 2. Drop bank PDF or CSV. 3. Click '📋 1-Click Copy For Vault'. 4. Click cell B14 and paste (Cmd+V / Ctrl+V).</t>
        </is>
      </c>
      <c r="C11" s="13" t="n"/>
      <c r="D11" s="13" t="n"/>
      <c r="E11" s="13" t="n"/>
      <c r="F11" s="13" t="n"/>
    </row>
    <row r="13" ht="22" customHeight="1">
      <c r="B13" s="15" t="inlineStr">
        <is>
          <t>Date</t>
        </is>
      </c>
      <c r="C13" s="15" t="inlineStr">
        <is>
          <t>Clean Merchant</t>
        </is>
      </c>
      <c r="D13" s="15" t="inlineStr">
        <is>
          <t>Amount ($)</t>
        </is>
      </c>
      <c r="E13" s="15" t="inlineStr">
        <is>
          <t>Category</t>
        </is>
      </c>
      <c r="F13" s="15" t="inlineStr">
        <is>
          <t>Budget Bucket</t>
        </is>
      </c>
    </row>
    <row r="14" ht="19" customHeight="1">
      <c r="B14" s="76" t="n"/>
      <c r="C14" s="76" t="n"/>
      <c r="D14" s="77" t="n"/>
      <c r="E14" s="76" t="n"/>
      <c r="F14" s="76" t="n"/>
    </row>
    <row r="15" ht="19" customHeight="1">
      <c r="B15" s="76" t="n"/>
      <c r="C15" s="76" t="n"/>
      <c r="D15" s="77" t="n"/>
      <c r="E15" s="76" t="n"/>
      <c r="F15" s="76" t="n"/>
    </row>
    <row r="16" ht="19" customHeight="1">
      <c r="B16" s="76" t="n"/>
      <c r="C16" s="76" t="n"/>
      <c r="D16" s="77" t="n"/>
      <c r="E16" s="76" t="n"/>
      <c r="F16" s="76" t="n"/>
    </row>
    <row r="17" ht="19" customHeight="1">
      <c r="B17" s="76" t="n"/>
      <c r="C17" s="76" t="n"/>
      <c r="D17" s="77" t="n"/>
      <c r="E17" s="76" t="n"/>
      <c r="F17" s="76" t="n"/>
    </row>
    <row r="18" ht="19" customHeight="1">
      <c r="B18" s="76" t="n"/>
      <c r="C18" s="76" t="n"/>
      <c r="D18" s="77" t="n"/>
      <c r="E18" s="76" t="n"/>
      <c r="F18" s="76" t="n"/>
    </row>
    <row r="19" ht="19" customHeight="1">
      <c r="B19" s="76" t="n"/>
      <c r="C19" s="76" t="n"/>
      <c r="D19" s="77" t="n"/>
      <c r="E19" s="76" t="n"/>
      <c r="F19" s="76" t="n"/>
    </row>
    <row r="20" ht="19" customHeight="1">
      <c r="B20" s="76" t="n"/>
      <c r="C20" s="76" t="n"/>
      <c r="D20" s="77" t="n"/>
      <c r="E20" s="76" t="n"/>
      <c r="F20" s="76" t="n"/>
    </row>
    <row r="21" ht="19" customHeight="1">
      <c r="B21" s="76" t="n"/>
      <c r="C21" s="76" t="n"/>
      <c r="D21" s="77" t="n"/>
      <c r="E21" s="76" t="n"/>
      <c r="F21" s="76" t="n"/>
    </row>
    <row r="22" ht="19" customHeight="1">
      <c r="B22" s="76" t="n"/>
      <c r="C22" s="76" t="n"/>
      <c r="D22" s="77" t="n"/>
      <c r="E22" s="76" t="n"/>
      <c r="F22" s="76" t="n"/>
    </row>
    <row r="23" ht="19" customHeight="1">
      <c r="B23" s="76" t="n"/>
      <c r="C23" s="76" t="n"/>
      <c r="D23" s="77" t="n"/>
      <c r="E23" s="76" t="n"/>
      <c r="F23" s="76" t="n"/>
    </row>
    <row r="24" ht="19" customHeight="1">
      <c r="B24" s="76" t="n"/>
      <c r="C24" s="76" t="n"/>
      <c r="D24" s="77" t="n"/>
      <c r="E24" s="76" t="n"/>
      <c r="F24" s="76" t="n"/>
    </row>
    <row r="25" ht="19" customHeight="1">
      <c r="B25" s="76" t="n"/>
      <c r="C25" s="76" t="n"/>
      <c r="D25" s="77" t="n"/>
      <c r="E25" s="76" t="n"/>
      <c r="F25" s="76" t="n"/>
    </row>
    <row r="26" ht="19" customHeight="1">
      <c r="B26" s="76" t="n"/>
      <c r="C26" s="76" t="n"/>
      <c r="D26" s="77" t="n"/>
      <c r="E26" s="76" t="n"/>
      <c r="F26" s="76" t="n"/>
    </row>
    <row r="27" ht="19" customHeight="1">
      <c r="B27" s="76" t="n"/>
      <c r="C27" s="76" t="n"/>
      <c r="D27" s="77" t="n"/>
      <c r="E27" s="76" t="n"/>
      <c r="F27" s="76" t="n"/>
    </row>
    <row r="28" ht="19" customHeight="1">
      <c r="B28" s="76" t="n"/>
      <c r="C28" s="76" t="n"/>
      <c r="D28" s="77" t="n"/>
      <c r="E28" s="76" t="n"/>
      <c r="F28" s="76" t="n"/>
    </row>
    <row r="29" ht="19" customHeight="1">
      <c r="B29" s="76" t="n"/>
      <c r="C29" s="76" t="n"/>
      <c r="D29" s="77" t="n"/>
      <c r="E29" s="76" t="n"/>
      <c r="F29" s="76" t="n"/>
    </row>
    <row r="30" ht="19" customHeight="1">
      <c r="B30" s="76" t="n"/>
      <c r="C30" s="76" t="n"/>
      <c r="D30" s="77" t="n"/>
      <c r="E30" s="76" t="n"/>
      <c r="F30" s="76" t="n"/>
    </row>
    <row r="31" ht="19" customHeight="1">
      <c r="B31" s="76" t="n"/>
      <c r="C31" s="76" t="n"/>
      <c r="D31" s="77" t="n"/>
      <c r="E31" s="76" t="n"/>
      <c r="F31" s="76" t="n"/>
    </row>
    <row r="32" ht="19" customHeight="1">
      <c r="B32" s="76" t="n"/>
      <c r="C32" s="76" t="n"/>
      <c r="D32" s="77" t="n"/>
      <c r="E32" s="76" t="n"/>
      <c r="F32" s="76" t="n"/>
    </row>
    <row r="33" ht="19" customHeight="1">
      <c r="B33" s="76" t="n"/>
      <c r="C33" s="76" t="n"/>
      <c r="D33" s="77" t="n"/>
      <c r="E33" s="76" t="n"/>
      <c r="F33" s="76" t="n"/>
    </row>
    <row r="34" ht="19" customHeight="1">
      <c r="B34" s="76" t="n"/>
      <c r="C34" s="76" t="n"/>
      <c r="D34" s="77" t="n"/>
      <c r="E34" s="76" t="n"/>
      <c r="F34" s="76" t="n"/>
    </row>
    <row r="35" ht="19" customHeight="1">
      <c r="B35" s="76" t="n"/>
      <c r="C35" s="76" t="n"/>
      <c r="D35" s="77" t="n"/>
      <c r="E35" s="76" t="n"/>
      <c r="F35" s="76" t="n"/>
    </row>
    <row r="36" ht="19" customHeight="1">
      <c r="B36" s="76" t="n"/>
      <c r="C36" s="76" t="n"/>
      <c r="D36" s="77" t="n"/>
      <c r="E36" s="76" t="n"/>
      <c r="F36" s="76" t="n"/>
    </row>
    <row r="37" ht="19" customHeight="1">
      <c r="B37" s="76" t="n"/>
      <c r="C37" s="76" t="n"/>
      <c r="D37" s="77" t="n"/>
      <c r="E37" s="76" t="n"/>
      <c r="F37" s="76" t="n"/>
    </row>
    <row r="38" ht="19" customHeight="1">
      <c r="B38" s="76" t="n"/>
      <c r="C38" s="76" t="n"/>
      <c r="D38" s="77" t="n"/>
      <c r="E38" s="76" t="n"/>
      <c r="F38" s="76" t="n"/>
    </row>
    <row r="39" ht="19" customHeight="1">
      <c r="B39" s="76" t="n"/>
      <c r="C39" s="76" t="n"/>
      <c r="D39" s="77" t="n"/>
      <c r="E39" s="76" t="n"/>
      <c r="F39" s="76" t="n"/>
    </row>
    <row r="40" ht="19" customHeight="1">
      <c r="B40" s="76" t="n"/>
      <c r="C40" s="76" t="n"/>
      <c r="D40" s="77" t="n"/>
      <c r="E40" s="76" t="n"/>
      <c r="F40" s="76" t="n"/>
    </row>
    <row r="41" ht="19" customHeight="1">
      <c r="B41" s="76" t="n"/>
      <c r="C41" s="76" t="n"/>
      <c r="D41" s="77" t="n"/>
      <c r="E41" s="76" t="n"/>
      <c r="F41" s="76" t="n"/>
    </row>
    <row r="42" ht="19" customHeight="1">
      <c r="B42" s="76" t="n"/>
      <c r="C42" s="76" t="n"/>
      <c r="D42" s="77" t="n"/>
      <c r="E42" s="76" t="n"/>
      <c r="F42" s="76" t="n"/>
    </row>
    <row r="43" ht="19" customHeight="1">
      <c r="B43" s="76" t="n"/>
      <c r="C43" s="76" t="n"/>
      <c r="D43" s="77" t="n"/>
      <c r="E43" s="76" t="n"/>
      <c r="F43" s="76" t="n"/>
    </row>
    <row r="44" ht="19" customHeight="1">
      <c r="B44" s="76" t="n"/>
      <c r="C44" s="76" t="n"/>
      <c r="D44" s="77" t="n"/>
      <c r="E44" s="76" t="n"/>
      <c r="F44" s="76" t="n"/>
    </row>
    <row r="45" ht="19" customHeight="1">
      <c r="B45" s="76" t="n"/>
      <c r="C45" s="76" t="n"/>
      <c r="D45" s="77" t="n"/>
      <c r="E45" s="76" t="n"/>
      <c r="F45" s="76" t="n"/>
    </row>
    <row r="46" ht="19" customHeight="1">
      <c r="B46" s="76" t="n"/>
      <c r="C46" s="76" t="n"/>
      <c r="D46" s="77" t="n"/>
      <c r="E46" s="76" t="n"/>
      <c r="F46" s="76" t="n"/>
    </row>
    <row r="47" ht="19" customHeight="1">
      <c r="B47" s="76" t="n"/>
      <c r="C47" s="76" t="n"/>
      <c r="D47" s="77" t="n"/>
      <c r="E47" s="76" t="n"/>
      <c r="F47" s="76" t="n"/>
    </row>
    <row r="48" ht="19" customHeight="1">
      <c r="B48" s="76" t="n"/>
      <c r="C48" s="76" t="n"/>
      <c r="D48" s="77" t="n"/>
      <c r="E48" s="76" t="n"/>
      <c r="F48" s="76" t="n"/>
    </row>
    <row r="49" ht="19" customHeight="1">
      <c r="B49" s="76" t="n"/>
      <c r="C49" s="76" t="n"/>
      <c r="D49" s="77" t="n"/>
      <c r="E49" s="76" t="n"/>
      <c r="F49" s="76" t="n"/>
    </row>
    <row r="50" ht="19" customHeight="1">
      <c r="B50" s="76" t="n"/>
      <c r="C50" s="76" t="n"/>
      <c r="D50" s="77" t="n"/>
      <c r="E50" s="76" t="n"/>
      <c r="F50" s="76" t="n"/>
    </row>
    <row r="51" ht="19" customHeight="1">
      <c r="B51" s="76" t="n"/>
      <c r="C51" s="76" t="n"/>
      <c r="D51" s="77" t="n"/>
      <c r="E51" s="76" t="n"/>
      <c r="F51" s="76" t="n"/>
    </row>
    <row r="52" ht="19" customHeight="1">
      <c r="B52" s="76" t="n"/>
      <c r="C52" s="76" t="n"/>
      <c r="D52" s="77" t="n"/>
      <c r="E52" s="76" t="n"/>
      <c r="F52" s="76" t="n"/>
    </row>
    <row r="53" ht="19" customHeight="1">
      <c r="B53" s="76" t="n"/>
      <c r="C53" s="76" t="n"/>
      <c r="D53" s="77" t="n"/>
      <c r="E53" s="76" t="n"/>
      <c r="F53" s="76" t="n"/>
    </row>
    <row r="54" ht="19" customHeight="1">
      <c r="B54" s="76" t="n"/>
      <c r="C54" s="76" t="n"/>
      <c r="D54" s="77" t="n"/>
      <c r="E54" s="76" t="n"/>
      <c r="F54" s="76" t="n"/>
    </row>
    <row r="55" ht="19" customHeight="1">
      <c r="B55" s="76" t="n"/>
      <c r="C55" s="76" t="n"/>
      <c r="D55" s="77" t="n"/>
      <c r="E55" s="76" t="n"/>
      <c r="F55" s="76" t="n"/>
    </row>
    <row r="56" ht="19" customHeight="1">
      <c r="B56" s="76" t="n"/>
      <c r="C56" s="76" t="n"/>
      <c r="D56" s="77" t="n"/>
      <c r="E56" s="76" t="n"/>
      <c r="F56" s="76" t="n"/>
    </row>
    <row r="57" ht="19" customHeight="1">
      <c r="B57" s="76" t="n"/>
      <c r="C57" s="76" t="n"/>
      <c r="D57" s="77" t="n"/>
      <c r="E57" s="76" t="n"/>
      <c r="F57" s="76" t="n"/>
    </row>
    <row r="58" ht="19" customHeight="1">
      <c r="B58" s="76" t="n"/>
      <c r="C58" s="76" t="n"/>
      <c r="D58" s="77" t="n"/>
      <c r="E58" s="76" t="n"/>
      <c r="F58" s="76" t="n"/>
    </row>
    <row r="59" ht="19" customHeight="1">
      <c r="B59" s="76" t="n"/>
      <c r="C59" s="76" t="n"/>
      <c r="D59" s="77" t="n"/>
      <c r="E59" s="76" t="n"/>
      <c r="F59" s="76" t="n"/>
    </row>
    <row r="60" ht="19" customHeight="1">
      <c r="B60" s="76" t="n"/>
      <c r="C60" s="76" t="n"/>
      <c r="D60" s="77" t="n"/>
      <c r="E60" s="76" t="n"/>
      <c r="F60" s="76" t="n"/>
    </row>
    <row r="61" ht="19" customHeight="1">
      <c r="B61" s="76" t="n"/>
      <c r="C61" s="76" t="n"/>
      <c r="D61" s="77" t="n"/>
      <c r="E61" s="76" t="n"/>
      <c r="F61" s="76" t="n"/>
    </row>
    <row r="62" ht="19" customHeight="1">
      <c r="B62" s="76" t="n"/>
      <c r="C62" s="76" t="n"/>
      <c r="D62" s="77" t="n"/>
      <c r="E62" s="76" t="n"/>
      <c r="F62" s="76" t="n"/>
    </row>
    <row r="63" ht="19" customHeight="1">
      <c r="B63" s="76" t="n"/>
      <c r="C63" s="76" t="n"/>
      <c r="D63" s="77" t="n"/>
      <c r="E63" s="76" t="n"/>
      <c r="F63" s="76" t="n"/>
    </row>
    <row r="64" ht="19" customHeight="1">
      <c r="B64" s="76" t="n"/>
      <c r="C64" s="76" t="n"/>
      <c r="D64" s="77" t="n"/>
      <c r="E64" s="76" t="n"/>
      <c r="F64" s="76" t="n"/>
    </row>
    <row r="65" ht="19" customHeight="1">
      <c r="B65" s="76" t="n"/>
      <c r="C65" s="76" t="n"/>
      <c r="D65" s="77" t="n"/>
      <c r="E65" s="76" t="n"/>
      <c r="F65" s="76" t="n"/>
    </row>
    <row r="66" ht="19" customHeight="1">
      <c r="B66" s="76" t="n"/>
      <c r="C66" s="76" t="n"/>
      <c r="D66" s="77" t="n"/>
      <c r="E66" s="76" t="n"/>
      <c r="F66" s="76" t="n"/>
    </row>
    <row r="67" ht="19" customHeight="1">
      <c r="B67" s="76" t="n"/>
      <c r="C67" s="76" t="n"/>
      <c r="D67" s="77" t="n"/>
      <c r="E67" s="76" t="n"/>
      <c r="F67" s="76" t="n"/>
    </row>
    <row r="68" ht="19" customHeight="1">
      <c r="B68" s="76" t="n"/>
      <c r="C68" s="76" t="n"/>
      <c r="D68" s="77" t="n"/>
      <c r="E68" s="76" t="n"/>
      <c r="F68" s="76" t="n"/>
    </row>
    <row r="69" ht="19" customHeight="1">
      <c r="B69" s="76" t="n"/>
      <c r="C69" s="76" t="n"/>
      <c r="D69" s="77" t="n"/>
      <c r="E69" s="76" t="n"/>
      <c r="F69" s="76" t="n"/>
    </row>
    <row r="70" ht="19" customHeight="1">
      <c r="B70" s="76" t="n"/>
      <c r="C70" s="76" t="n"/>
      <c r="D70" s="77" t="n"/>
      <c r="E70" s="76" t="n"/>
      <c r="F70" s="76" t="n"/>
    </row>
    <row r="71" ht="19" customHeight="1">
      <c r="B71" s="76" t="n"/>
      <c r="C71" s="76" t="n"/>
      <c r="D71" s="77" t="n"/>
      <c r="E71" s="76" t="n"/>
      <c r="F71" s="76" t="n"/>
    </row>
    <row r="72" ht="19" customHeight="1">
      <c r="B72" s="76" t="n"/>
      <c r="C72" s="76" t="n"/>
      <c r="D72" s="77" t="n"/>
      <c r="E72" s="76" t="n"/>
      <c r="F72" s="76" t="n"/>
    </row>
    <row r="73" ht="19" customHeight="1">
      <c r="B73" s="76" t="n"/>
      <c r="C73" s="76" t="n"/>
      <c r="D73" s="77" t="n"/>
      <c r="E73" s="76" t="n"/>
      <c r="F73" s="76" t="n"/>
    </row>
    <row r="74" ht="19" customHeight="1">
      <c r="B74" s="76" t="n"/>
      <c r="C74" s="76" t="n"/>
      <c r="D74" s="77" t="n"/>
      <c r="E74" s="76" t="n"/>
      <c r="F74" s="76" t="n"/>
    </row>
    <row r="75" ht="19" customHeight="1">
      <c r="B75" s="76" t="n"/>
      <c r="C75" s="76" t="n"/>
      <c r="D75" s="77" t="n"/>
      <c r="E75" s="76" t="n"/>
      <c r="F75" s="76" t="n"/>
    </row>
    <row r="76" ht="19" customHeight="1">
      <c r="B76" s="76" t="n"/>
      <c r="C76" s="76" t="n"/>
      <c r="D76" s="77" t="n"/>
      <c r="E76" s="76" t="n"/>
      <c r="F76" s="76" t="n"/>
    </row>
    <row r="77" ht="19" customHeight="1">
      <c r="B77" s="76" t="n"/>
      <c r="C77" s="76" t="n"/>
      <c r="D77" s="77" t="n"/>
      <c r="E77" s="76" t="n"/>
      <c r="F77" s="76" t="n"/>
    </row>
    <row r="78" ht="19" customHeight="1">
      <c r="B78" s="76" t="n"/>
      <c r="C78" s="76" t="n"/>
      <c r="D78" s="77" t="n"/>
      <c r="E78" s="76" t="n"/>
      <c r="F78" s="76" t="n"/>
    </row>
    <row r="79" ht="19" customHeight="1">
      <c r="B79" s="76" t="n"/>
      <c r="C79" s="76" t="n"/>
      <c r="D79" s="77" t="n"/>
      <c r="E79" s="76" t="n"/>
      <c r="F79" s="76" t="n"/>
    </row>
    <row r="80" ht="19" customHeight="1">
      <c r="B80" s="76" t="n"/>
      <c r="C80" s="76" t="n"/>
      <c r="D80" s="77" t="n"/>
      <c r="E80" s="76" t="n"/>
      <c r="F80" s="76" t="n"/>
    </row>
    <row r="81" ht="19" customHeight="1">
      <c r="B81" s="76" t="n"/>
      <c r="C81" s="76" t="n"/>
      <c r="D81" s="77" t="n"/>
      <c r="E81" s="76" t="n"/>
      <c r="F81" s="76" t="n"/>
    </row>
    <row r="82" ht="19" customHeight="1">
      <c r="B82" s="76" t="n"/>
      <c r="C82" s="76" t="n"/>
      <c r="D82" s="77" t="n"/>
      <c r="E82" s="76" t="n"/>
      <c r="F82" s="76" t="n"/>
    </row>
    <row r="83" ht="19" customHeight="1">
      <c r="B83" s="76" t="n"/>
      <c r="C83" s="76" t="n"/>
      <c r="D83" s="77" t="n"/>
      <c r="E83" s="76" t="n"/>
      <c r="F83" s="76" t="n"/>
    </row>
    <row r="84" ht="19" customHeight="1">
      <c r="B84" s="76" t="n"/>
      <c r="C84" s="76" t="n"/>
      <c r="D84" s="77" t="n"/>
      <c r="E84" s="76" t="n"/>
      <c r="F84" s="76" t="n"/>
    </row>
    <row r="85" ht="19" customHeight="1">
      <c r="B85" s="76" t="n"/>
      <c r="C85" s="76" t="n"/>
      <c r="D85" s="77" t="n"/>
      <c r="E85" s="76" t="n"/>
      <c r="F85" s="76" t="n"/>
    </row>
    <row r="86" ht="19" customHeight="1">
      <c r="B86" s="76" t="n"/>
      <c r="C86" s="76" t="n"/>
      <c r="D86" s="77" t="n"/>
      <c r="E86" s="76" t="n"/>
      <c r="F86" s="76" t="n"/>
    </row>
    <row r="87" ht="19" customHeight="1">
      <c r="B87" s="76" t="n"/>
      <c r="C87" s="76" t="n"/>
      <c r="D87" s="77" t="n"/>
      <c r="E87" s="76" t="n"/>
      <c r="F87" s="76" t="n"/>
    </row>
    <row r="88" ht="19" customHeight="1">
      <c r="B88" s="76" t="n"/>
      <c r="C88" s="76" t="n"/>
      <c r="D88" s="77" t="n"/>
      <c r="E88" s="76" t="n"/>
      <c r="F88" s="76" t="n"/>
    </row>
    <row r="89" ht="19" customHeight="1">
      <c r="B89" s="76" t="n"/>
      <c r="C89" s="76" t="n"/>
      <c r="D89" s="77" t="n"/>
      <c r="E89" s="76" t="n"/>
      <c r="F89" s="76" t="n"/>
    </row>
    <row r="90" ht="19" customHeight="1">
      <c r="B90" s="76" t="n"/>
      <c r="C90" s="76" t="n"/>
      <c r="D90" s="77" t="n"/>
      <c r="E90" s="76" t="n"/>
      <c r="F90" s="76" t="n"/>
    </row>
    <row r="91" ht="19" customHeight="1">
      <c r="B91" s="76" t="n"/>
      <c r="C91" s="76" t="n"/>
      <c r="D91" s="77" t="n"/>
      <c r="E91" s="76" t="n"/>
      <c r="F91" s="76" t="n"/>
    </row>
    <row r="92" ht="19" customHeight="1">
      <c r="B92" s="76" t="n"/>
      <c r="C92" s="76" t="n"/>
      <c r="D92" s="77" t="n"/>
      <c r="E92" s="76" t="n"/>
      <c r="F92" s="76" t="n"/>
    </row>
    <row r="93" ht="19" customHeight="1">
      <c r="B93" s="76" t="n"/>
      <c r="C93" s="76" t="n"/>
      <c r="D93" s="77" t="n"/>
      <c r="E93" s="76" t="n"/>
      <c r="F93" s="76" t="n"/>
    </row>
    <row r="94" ht="19" customHeight="1">
      <c r="B94" s="76" t="n"/>
      <c r="C94" s="76" t="n"/>
      <c r="D94" s="77" t="n"/>
      <c r="E94" s="76" t="n"/>
      <c r="F94" s="76" t="n"/>
    </row>
    <row r="95" ht="19" customHeight="1">
      <c r="B95" s="76" t="n"/>
      <c r="C95" s="76" t="n"/>
      <c r="D95" s="77" t="n"/>
      <c r="E95" s="76" t="n"/>
      <c r="F95" s="76" t="n"/>
    </row>
    <row r="96" ht="19" customHeight="1">
      <c r="B96" s="76" t="n"/>
      <c r="C96" s="76" t="n"/>
      <c r="D96" s="77" t="n"/>
      <c r="E96" s="76" t="n"/>
      <c r="F96" s="76" t="n"/>
    </row>
    <row r="97" ht="19" customHeight="1">
      <c r="B97" s="76" t="n"/>
      <c r="C97" s="76" t="n"/>
      <c r="D97" s="77" t="n"/>
      <c r="E97" s="76" t="n"/>
      <c r="F97" s="76" t="n"/>
    </row>
    <row r="98" ht="19" customHeight="1">
      <c r="B98" s="76" t="n"/>
      <c r="C98" s="76" t="n"/>
      <c r="D98" s="77" t="n"/>
      <c r="E98" s="76" t="n"/>
      <c r="F98" s="76" t="n"/>
    </row>
    <row r="99" ht="19" customHeight="1">
      <c r="B99" s="76" t="n"/>
      <c r="C99" s="76" t="n"/>
      <c r="D99" s="77" t="n"/>
      <c r="E99" s="76" t="n"/>
      <c r="F99" s="76" t="n"/>
    </row>
    <row r="100" ht="19" customHeight="1">
      <c r="B100" s="76" t="n"/>
      <c r="C100" s="76" t="n"/>
      <c r="D100" s="77" t="n"/>
      <c r="E100" s="76" t="n"/>
      <c r="F100" s="76" t="n"/>
    </row>
    <row r="101" ht="19" customHeight="1">
      <c r="B101" s="76" t="n"/>
      <c r="C101" s="76" t="n"/>
      <c r="D101" s="77" t="n"/>
      <c r="E101" s="76" t="n"/>
      <c r="F101" s="76" t="n"/>
    </row>
    <row r="102" ht="19" customHeight="1">
      <c r="B102" s="76" t="n"/>
      <c r="C102" s="76" t="n"/>
      <c r="D102" s="77" t="n"/>
      <c r="E102" s="76" t="n"/>
      <c r="F102" s="76" t="n"/>
    </row>
    <row r="103" ht="19" customHeight="1">
      <c r="B103" s="76" t="n"/>
      <c r="C103" s="76" t="n"/>
      <c r="D103" s="77" t="n"/>
      <c r="E103" s="76" t="n"/>
      <c r="F103" s="76" t="n"/>
    </row>
    <row r="104" ht="19" customHeight="1">
      <c r="B104" s="76" t="n"/>
      <c r="C104" s="76" t="n"/>
      <c r="D104" s="77" t="n"/>
      <c r="E104" s="76" t="n"/>
      <c r="F104" s="76" t="n"/>
    </row>
    <row r="105" ht="19" customHeight="1">
      <c r="B105" s="76" t="n"/>
      <c r="C105" s="76" t="n"/>
      <c r="D105" s="77" t="n"/>
      <c r="E105" s="76" t="n"/>
      <c r="F105" s="76" t="n"/>
    </row>
    <row r="106" ht="19" customHeight="1">
      <c r="B106" s="76" t="n"/>
      <c r="C106" s="76" t="n"/>
      <c r="D106" s="77" t="n"/>
      <c r="E106" s="76" t="n"/>
      <c r="F106" s="76" t="n"/>
    </row>
    <row r="107" ht="19" customHeight="1">
      <c r="B107" s="76" t="n"/>
      <c r="C107" s="76" t="n"/>
      <c r="D107" s="77" t="n"/>
      <c r="E107" s="76" t="n"/>
      <c r="F107" s="76" t="n"/>
    </row>
    <row r="108" ht="19" customHeight="1">
      <c r="B108" s="76" t="n"/>
      <c r="C108" s="76" t="n"/>
      <c r="D108" s="77" t="n"/>
      <c r="E108" s="76" t="n"/>
      <c r="F108" s="76" t="n"/>
    </row>
    <row r="109" ht="19" customHeight="1">
      <c r="B109" s="76" t="n"/>
      <c r="C109" s="76" t="n"/>
      <c r="D109" s="77" t="n"/>
      <c r="E109" s="76" t="n"/>
      <c r="F109" s="76" t="n"/>
    </row>
    <row r="110" ht="19" customHeight="1">
      <c r="B110" s="76" t="n"/>
      <c r="C110" s="76" t="n"/>
      <c r="D110" s="77" t="n"/>
      <c r="E110" s="76" t="n"/>
      <c r="F110" s="76" t="n"/>
    </row>
    <row r="111" ht="19" customHeight="1">
      <c r="B111" s="76" t="n"/>
      <c r="C111" s="76" t="n"/>
      <c r="D111" s="77" t="n"/>
      <c r="E111" s="76" t="n"/>
      <c r="F111" s="76" t="n"/>
    </row>
    <row r="112" ht="19" customHeight="1">
      <c r="B112" s="76" t="n"/>
      <c r="C112" s="76" t="n"/>
      <c r="D112" s="77" t="n"/>
      <c r="E112" s="76" t="n"/>
      <c r="F112" s="76" t="n"/>
    </row>
    <row r="113" ht="19" customHeight="1">
      <c r="B113" s="76" t="n"/>
      <c r="C113" s="76" t="n"/>
      <c r="D113" s="77" t="n"/>
      <c r="E113" s="76" t="n"/>
      <c r="F113" s="76" t="n"/>
    </row>
  </sheetData>
  <sheetProtection selectLockedCells="0" selectUnlockedCells="0" sheet="1" objects="0" insertRows="1" insertHyperlinks="1" autoFilter="1" scenarios="0" formatColumns="1" deleteColumns="1" insertColumns="1" pivotTables="1" deleteRows="1" formatCells="1" formatRows="1" sort="1"/>
  <mergeCells count="5">
    <mergeCell ref="B2:F2"/>
    <mergeCell ref="B10:F10"/>
    <mergeCell ref="B11:F11"/>
    <mergeCell ref="B3:F3"/>
    <mergeCell ref="B5:F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4"/>
  <sheetViews>
    <sheetView showGridLines="1" workbookViewId="0">
      <selection activeCell="A1" sqref="A1"/>
    </sheetView>
  </sheetViews>
  <sheetFormatPr baseColWidth="8" defaultRowHeight="15"/>
  <cols>
    <col width="3" customWidth="1" min="1" max="1"/>
    <col width="30" customWidth="1" min="2" max="2"/>
    <col width="16" customWidth="1" min="3" max="3"/>
    <col width="18" customWidth="1" min="4" max="4"/>
    <col width="16" customWidth="1" min="5" max="5"/>
    <col width="16" customWidth="1" min="6" max="6"/>
    <col width="18"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2" customHeight="1">
      <c r="B5" s="15" t="inlineStr">
        <is>
          <t>Fund Name / Category</t>
        </is>
      </c>
      <c r="C5" s="15" t="inlineStr">
        <is>
          <t>Target Goal ($)</t>
        </is>
      </c>
      <c r="D5" s="15" t="inlineStr">
        <is>
          <t>Current Balance ($)</t>
        </is>
      </c>
      <c r="E5" s="15" t="inlineStr">
        <is>
          <t>Remaining Gap ($)</t>
        </is>
      </c>
      <c r="F5" s="15" t="inlineStr">
        <is>
          <t>Target Deadline</t>
        </is>
      </c>
      <c r="G5" s="15" t="inlineStr">
        <is>
          <t>Monthly Allocation</t>
        </is>
      </c>
      <c r="H5" s="15" t="inlineStr">
        <is>
          <t>Fund Health Status</t>
        </is>
      </c>
    </row>
    <row r="6" ht="20" customHeight="1">
      <c r="B6" s="4" t="inlineStr">
        <is>
          <t>🛡️ 6-Month Emergency Runway</t>
        </is>
      </c>
      <c r="C6" s="10" t="n"/>
      <c r="D6" s="10" t="n"/>
      <c r="E6" s="20">
        <f>C6-D6</f>
        <v/>
      </c>
      <c r="F6" s="78" t="inlineStr">
        <is>
          <t>Dec 2026</t>
        </is>
      </c>
      <c r="G6" s="10" t="n"/>
      <c r="H6" s="79">
        <f>IF(C6&lt;=0, "N/A", IF(D6&gt;=C6, "✅ FULLY FUNDED", IF(D6/C6&gt;=0.75, "🟢 ON TRACK", IF(D6/C6&gt;=0.4, "🟡 IN PROGRESS", "🔴 NEEDS FOCUS"))))</f>
        <v/>
      </c>
    </row>
    <row r="7" ht="20" customHeight="1">
      <c r="B7" s="4" t="inlineStr">
        <is>
          <t>🚗 Car Maintenance &amp; Tires</t>
        </is>
      </c>
      <c r="C7" s="10" t="n"/>
      <c r="D7" s="10" t="n"/>
      <c r="E7" s="20">
        <f>C7-D7</f>
        <v/>
      </c>
      <c r="F7" s="78" t="inlineStr">
        <is>
          <t>Jun 2027</t>
        </is>
      </c>
      <c r="G7" s="10" t="n"/>
      <c r="H7" s="79">
        <f>IF(C7&lt;=0, "N/A", IF(D7&gt;=C7, "✅ FULLY FUNDED", IF(D7/C7&gt;=0.75, "🟢 ON TRACK", IF(D7/C7&gt;=0.4, "🟡 IN PROGRESS", "🔴 NEEDS FOCUS"))))</f>
        <v/>
      </c>
    </row>
    <row r="8" ht="20" customHeight="1">
      <c r="B8" s="4" t="inlineStr">
        <is>
          <t>🏖️ Annual Family Vacation</t>
        </is>
      </c>
      <c r="C8" s="10" t="n"/>
      <c r="D8" s="10" t="n"/>
      <c r="E8" s="20">
        <f>C8-D8</f>
        <v/>
      </c>
      <c r="F8" s="78" t="inlineStr">
        <is>
          <t>Dec 2027</t>
        </is>
      </c>
      <c r="G8" s="10" t="n"/>
      <c r="H8" s="79">
        <f>IF(C8&lt;=0, "N/A", IF(D8&gt;=C8, "✅ FULLY FUNDED", IF(D8/C8&gt;=0.75, "🟢 ON TRACK", IF(D8/C8&gt;=0.4, "🟡 IN PROGRESS", "🔴 NEEDS FOCUS"))))</f>
        <v/>
      </c>
    </row>
    <row r="9" ht="20" customHeight="1">
      <c r="B9" s="4" t="inlineStr">
        <is>
          <t>🎁 Holiday Season &amp; Gifts</t>
        </is>
      </c>
      <c r="C9" s="10" t="n"/>
      <c r="D9" s="10" t="n"/>
      <c r="E9" s="20">
        <f>C9-D9</f>
        <v/>
      </c>
      <c r="F9" s="78" t="inlineStr">
        <is>
          <t>Nov 2026</t>
        </is>
      </c>
      <c r="G9" s="10" t="n"/>
      <c r="H9" s="79">
        <f>IF(C9&lt;=0, "N/A", IF(D9&gt;=C9, "✅ FULLY FUNDED", IF(D9/C9&gt;=0.75, "🟢 ON TRACK", IF(D9/C9&gt;=0.4, "🟡 IN PROGRESS", "🔴 NEEDS FOCUS"))))</f>
        <v/>
      </c>
    </row>
    <row r="10" ht="20" customHeight="1">
      <c r="B10" s="4" t="inlineStr">
        <is>
          <t>🏠 Home Appliance &amp; Repair Pool</t>
        </is>
      </c>
      <c r="C10" s="10" t="n"/>
      <c r="D10" s="10" t="n"/>
      <c r="E10" s="20">
        <f>C10-D10</f>
        <v/>
      </c>
      <c r="F10" s="78" t="inlineStr">
        <is>
          <t>Oct 2027</t>
        </is>
      </c>
      <c r="G10" s="10" t="n"/>
      <c r="H10" s="79">
        <f>IF(C10&lt;=0, "N/A", IF(D10&gt;=C10, "✅ FULLY FUNDED", IF(D10/C10&gt;=0.75, "🟢 ON TRACK", IF(D10/C10&gt;=0.4, "🟡 IN PROGRESS", "🔴 NEEDS FOCUS"))))</f>
        <v/>
      </c>
    </row>
    <row r="11" ht="20" customHeight="1">
      <c r="B11" s="4" t="inlineStr">
        <is>
          <t>⚕️ Medical &amp; Dental Out-of-Pocket</t>
        </is>
      </c>
      <c r="C11" s="10" t="n"/>
      <c r="D11" s="10" t="n"/>
      <c r="E11" s="20">
        <f>C11-D11</f>
        <v/>
      </c>
      <c r="F11" s="78" t="inlineStr">
        <is>
          <t>Aug 2027</t>
        </is>
      </c>
      <c r="G11" s="10" t="n"/>
      <c r="H11" s="79">
        <f>IF(C11&lt;=0, "N/A", IF(D11&gt;=C11, "✅ FULLY FUNDED", IF(D11/C11&gt;=0.75, "🟢 ON TRACK", IF(D11/C11&gt;=0.4, "🟡 IN PROGRESS", "🔴 NEEDS FOCUS"))))</f>
        <v/>
      </c>
    </row>
    <row r="12" ht="20" customHeight="1">
      <c r="B12" s="4" t="inlineStr">
        <is>
          <t>🏛️ Annual Property &amp; Local Taxes</t>
        </is>
      </c>
      <c r="C12" s="10" t="n"/>
      <c r="D12" s="10" t="n"/>
      <c r="E12" s="20">
        <f>C12-D12</f>
        <v/>
      </c>
      <c r="F12" s="78" t="inlineStr">
        <is>
          <t>Nov 2026</t>
        </is>
      </c>
      <c r="G12" s="10" t="n"/>
      <c r="H12" s="79">
        <f>IF(C12&lt;=0, "N/A", IF(D12&gt;=C12, "✅ FULLY FUNDED", IF(D12/C12&gt;=0.75, "🟢 ON TRACK", IF(D12/C12&gt;=0.4, "🟡 IN PROGRESS", "🔴 NEEDS FOCUS"))))</f>
        <v/>
      </c>
    </row>
    <row r="13" ht="20" customHeight="1">
      <c r="B13" s="4" t="inlineStr">
        <is>
          <t>📱 Tech &amp; Phone Upgrade Replacement</t>
        </is>
      </c>
      <c r="C13" s="10" t="n"/>
      <c r="D13" s="10" t="n"/>
      <c r="E13" s="20">
        <f>C13-D13</f>
        <v/>
      </c>
      <c r="F13" s="78" t="inlineStr">
        <is>
          <t>Dec 2027</t>
        </is>
      </c>
      <c r="G13" s="10" t="n"/>
      <c r="H13" s="79">
        <f>IF(C13&lt;=0, "N/A", IF(D13&gt;=C13, "✅ FULLY FUNDED", IF(D13/C13&gt;=0.75, "🟢 ON TRACK", IF(D13/C13&gt;=0.4, "🟡 IN PROGRESS", "🔴 NEEDS FOCUS"))))</f>
        <v/>
      </c>
    </row>
    <row r="14" ht="22" customHeight="1">
      <c r="B14" s="35" t="inlineStr">
        <is>
          <t>TOTAL SINKING FUNDS POOL</t>
        </is>
      </c>
      <c r="C14" s="40">
        <f>SUM(C6:C13)</f>
        <v/>
      </c>
      <c r="D14" s="40">
        <f>SUM(D6:D13)</f>
        <v/>
      </c>
      <c r="E14" s="40">
        <f>SUM(E6:E13)</f>
        <v/>
      </c>
      <c r="F14" s="80" t="inlineStr">
        <is>
          <t>Multiple</t>
        </is>
      </c>
      <c r="G14" s="40">
        <f>SUM(G6:G13)</f>
        <v/>
      </c>
      <c r="H14" s="81">
        <f>IFERROR(D14/C14,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cols>
    <col width="3" customWidth="1" min="1" max="1"/>
    <col width="32" customWidth="1" min="2" max="2"/>
    <col width="26" customWidth="1" min="3" max="3"/>
    <col width="42"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82" t="inlineStr">
        <is>
          <t>1. CORE ASSUMPTIONS (READS FROM MASTER SETUP)</t>
        </is>
      </c>
    </row>
    <row r="5" ht="20" customHeight="1">
      <c r="B5" s="4" t="inlineStr">
        <is>
          <t>Current Age</t>
        </is>
      </c>
      <c r="C5" s="83">
        <f>'START HERE'!C12</f>
        <v/>
      </c>
      <c r="D5" s="6" t="inlineStr">
        <is>
          <t>Your baseline age</t>
        </is>
      </c>
    </row>
    <row r="6" ht="20" customHeight="1">
      <c r="B6" s="4" t="inlineStr">
        <is>
          <t>Target Retirement Age</t>
        </is>
      </c>
      <c r="C6" s="83">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84">
        <f>'START HERE'!C16</f>
        <v/>
      </c>
      <c r="D8" s="6" t="inlineStr">
        <is>
          <t>Trinity 4% standard</t>
        </is>
      </c>
    </row>
    <row r="9" ht="20" customHeight="1">
      <c r="B9" s="4" t="inlineStr">
        <is>
          <t>Expected Real Return After Inflation</t>
        </is>
      </c>
      <c r="C9" s="84">
        <f>'START HERE'!C17</f>
        <v/>
      </c>
      <c r="D9" s="6" t="inlineStr">
        <is>
          <t>Historical stock index real return</t>
        </is>
      </c>
    </row>
    <row r="10" ht="20" customHeight="1">
      <c r="B10" s="4" t="inlineStr">
        <is>
          <t>Lean FIRE Spending Ratio</t>
        </is>
      </c>
      <c r="C10" s="84">
        <f>'START HERE'!C18</f>
        <v/>
      </c>
      <c r="D10" s="6" t="inlineStr">
        <is>
          <t>Survival spending baseline (default 65%)</t>
        </is>
      </c>
    </row>
    <row r="12">
      <c r="B12" s="61" t="inlineStr">
        <is>
          <t>2. THE 4 FIRE MILESTONES (CALCULATED LIVE)</t>
        </is>
      </c>
    </row>
    <row r="13" ht="22" customHeight="1">
      <c r="B13" s="4" t="inlineStr">
        <is>
          <t>Lean FIRE Target (Bare Essentials)</t>
        </is>
      </c>
      <c r="C13" s="85">
        <f>IFERROR((C7*C10)/C8, 0)</f>
        <v/>
      </c>
      <c r="D13" s="6" t="inlineStr">
        <is>
          <t>Survival baseline using Lean FIRE %</t>
        </is>
      </c>
    </row>
    <row r="14" ht="22" customHeight="1">
      <c r="B14" s="4" t="inlineStr">
        <is>
          <t>Standard FIRE Target (4% Rule)</t>
        </is>
      </c>
      <c r="C14" s="85">
        <f>IFERROR(C7/C8, 0)</f>
        <v/>
      </c>
      <c r="D14" s="6" t="inlineStr">
        <is>
          <t>25x annual spending replacing current lifestyle</t>
        </is>
      </c>
    </row>
    <row r="15" ht="22" customHeight="1">
      <c r="B15" s="4" t="inlineStr">
        <is>
          <t>Fat FIRE Target (Abundant Lifestyle)</t>
        </is>
      </c>
      <c r="C15" s="85">
        <f>IFERROR((C7*1.4)/C8, 0)</f>
        <v/>
      </c>
      <c r="D15" s="6" t="inlineStr">
        <is>
          <t>35x annual spending for luxury travel</t>
        </is>
      </c>
    </row>
    <row r="16" ht="22" customHeight="1">
      <c r="B16" s="4" t="inlineStr">
        <is>
          <t>Coast FIRE Target (Zero Further Savings Needed)</t>
        </is>
      </c>
      <c r="C16" s="85">
        <f>IFERROR((C7/C8)/((1+C9)^(C6-C5)), 0)</f>
        <v/>
      </c>
      <c r="D16" s="6" t="inlineStr">
        <is>
          <t>Portfolio compounds to Standard FIRE by Retirement Age</t>
        </is>
      </c>
    </row>
    <row r="18">
      <c r="B18" s="66"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6">
        <f>IF(C14&lt;=0, 0, IF(C19&gt;=C14, 0, IFERROR(NPER(C9/12, -C20, -C19, C14)/12, 0)))</f>
        <v/>
      </c>
      <c r="D21" s="6" t="inlineStr">
        <is>
          <t>Calculated using compound annuity growth (NPER)</t>
        </is>
      </c>
    </row>
    <row r="22">
      <c r="B22" s="87" t="inlineStr">
        <is>
          <t>⭐ PROJECTED FREEDOM DATE</t>
        </is>
      </c>
      <c r="C22" s="88">
        <f>IF(C14&lt;=0, "Setup Required", IF(C19&gt;=C14, "🎉 FIRE ACHIEVED!", IFERROR(DATE(YEAR(TODAY())+INT(C21), MONTH(TODAY())+ROUND((C21-INT(C21))*12, 0), 1), "Calculating...")))</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cols>
    <col width="3" customWidth="1" min="1" max="1"/>
    <col width="28"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2" customHeight="1">
      <c r="B4" s="15" t="inlineStr">
        <is>
          <t>Debt Account Name</t>
        </is>
      </c>
      <c r="C4" s="15" t="inlineStr">
        <is>
          <t>Current Balance</t>
        </is>
      </c>
      <c r="D4" s="15" t="inlineStr">
        <is>
          <t>Interest APR</t>
        </is>
      </c>
      <c r="E4" s="15" t="inlineStr">
        <is>
          <t>Min Payment</t>
        </is>
      </c>
      <c r="F4" s="15" t="inlineStr">
        <is>
          <t>Avalanche Rank</t>
        </is>
      </c>
      <c r="G4" s="15" t="inlineStr">
        <is>
          <t>Snowball Rank</t>
        </is>
      </c>
    </row>
    <row r="5" ht="20" customHeight="1">
      <c r="B5" s="4" t="inlineStr">
        <is>
          <t>Credit Card A (High APR)</t>
        </is>
      </c>
      <c r="C5" s="10" t="n"/>
      <c r="D5" s="89" t="n"/>
      <c r="E5" s="10" t="n"/>
      <c r="F5" s="79">
        <f>IF(C5&gt;0, RANK(D5, $D$5:$D$8, 0), "-")</f>
        <v/>
      </c>
      <c r="G5" s="79">
        <f>IF(C5&gt;0, RANK(C5, $C$5:$C$8, 1), "-")</f>
        <v/>
      </c>
    </row>
    <row r="6" ht="20" customHeight="1">
      <c r="B6" s="4" t="inlineStr">
        <is>
          <t>Personal Consolidation Loan</t>
        </is>
      </c>
      <c r="C6" s="10" t="n"/>
      <c r="D6" s="89" t="n"/>
      <c r="E6" s="10" t="n"/>
      <c r="F6" s="79">
        <f>IF(C6&gt;0, RANK(D6, $D$5:$D$8, 0), "-")</f>
        <v/>
      </c>
      <c r="G6" s="79">
        <f>IF(C6&gt;0, RANK(C6, $C$5:$C$8, 1), "-")</f>
        <v/>
      </c>
    </row>
    <row r="7" ht="20" customHeight="1">
      <c r="B7" s="4" t="inlineStr">
        <is>
          <t>Auto Loan (Vehicle)</t>
        </is>
      </c>
      <c r="C7" s="10" t="n"/>
      <c r="D7" s="89" t="n"/>
      <c r="E7" s="10" t="n"/>
      <c r="F7" s="79">
        <f>IF(C7&gt;0, RANK(D7, $D$5:$D$8, 0), "-")</f>
        <v/>
      </c>
      <c r="G7" s="79">
        <f>IF(C7&gt;0, RANK(C7, $C$5:$C$8, 1), "-")</f>
        <v/>
      </c>
    </row>
    <row r="8" ht="20" customHeight="1">
      <c r="B8" s="4" t="inlineStr">
        <is>
          <t>Primary Mortgage</t>
        </is>
      </c>
      <c r="C8" s="10" t="n"/>
      <c r="D8" s="89" t="n"/>
      <c r="E8" s="10" t="n"/>
      <c r="F8" s="79">
        <f>IF(C8&gt;0, RANK(D8, $D$5:$D$8, 0), "-")</f>
        <v/>
      </c>
      <c r="G8" s="79">
        <f>IF(C8&gt;0, RANK(C8, $C$5:$C$8, 1), "-")</f>
        <v/>
      </c>
    </row>
    <row r="9" ht="22" customHeight="1">
      <c r="B9" s="35" t="inlineStr">
        <is>
          <t>TOTAL LIABILITIES &amp; WEIGHTED APR</t>
        </is>
      </c>
      <c r="C9" s="40">
        <f>SUM(C5:C8)</f>
        <v/>
      </c>
      <c r="D9" s="90">
        <f>IFERROR(SUMPRODUCT(C5:C8, D5:D8)/SUM(C5:C8), 0)</f>
        <v/>
      </c>
      <c r="E9" s="40">
        <f>SUM(E5:E8)</f>
        <v/>
      </c>
      <c r="F9" s="91" t="inlineStr">
        <is>
          <t>Highest APR</t>
        </is>
      </c>
      <c r="G9" s="91" t="inlineStr">
        <is>
          <t>Lowest Bal</t>
        </is>
      </c>
    </row>
    <row r="12">
      <c r="B12" s="3" t="inlineStr">
        <is>
          <t>⚡ SIDE-BY-SIDE PAYOFF ACCELERATOR COMPARISON</t>
        </is>
      </c>
    </row>
    <row r="13">
      <c r="B13" s="92" t="inlineStr">
        <is>
          <t>Extra Monthly Debt Accelerator Payment</t>
        </is>
      </c>
      <c r="C13" s="30" t="n">
        <v>0</v>
      </c>
      <c r="D13" s="93" t="inlineStr">
        <is>
          <t>Total Monthly Cash Flow Dedicated: =E9+C13</t>
        </is>
      </c>
    </row>
    <row r="15" ht="20" customHeight="1">
      <c r="B15" s="15" t="inlineStr">
        <is>
          <t>Strategy Metric</t>
        </is>
      </c>
      <c r="C15" s="15" t="inlineStr">
        <is>
          <t>🏔️ Avalanche (Math Optimal)</t>
        </is>
      </c>
      <c r="D15" s="15" t="inlineStr">
        <is>
          <t>⛄ Snowball (Psychology Optimal)</t>
        </is>
      </c>
      <c r="E15" s="15" t="inlineStr">
        <is>
          <t>Difference / Advantage</t>
        </is>
      </c>
      <c r="F15" s="94" t="n"/>
      <c r="G15" s="94" t="n"/>
    </row>
    <row r="16" ht="20" customHeight="1">
      <c r="B16" s="4" t="inlineStr">
        <is>
          <t>Primary Priority</t>
        </is>
      </c>
      <c r="C16" s="5" t="inlineStr">
        <is>
          <t>Highest APR First (24.99%)</t>
        </is>
      </c>
      <c r="D16" s="5" t="inlineStr">
        <is>
          <t>Smallest Balance First ($4,200)</t>
        </is>
      </c>
      <c r="E16" s="6" t="inlineStr">
        <is>
          <t>Avalanche saves maximum cash</t>
        </is>
      </c>
      <c r="F16" s="13" t="n"/>
      <c r="G16" s="13" t="n"/>
    </row>
    <row r="17" ht="20" customHeight="1">
      <c r="B17" s="4" t="inlineStr">
        <is>
          <t>Projected Debt-Free Months</t>
        </is>
      </c>
      <c r="C17" s="95" t="n"/>
      <c r="D17" s="95" t="n"/>
      <c r="E17" s="96">
        <f>IFERROR(D17-C17, 0)</f>
        <v/>
      </c>
      <c r="F17" s="13" t="n"/>
      <c r="G17" s="13" t="n"/>
    </row>
    <row r="18" ht="20" customHeight="1">
      <c r="B18" s="4" t="inlineStr">
        <is>
          <t>Estimated Total Interest Paid</t>
        </is>
      </c>
      <c r="C18" s="97" t="n"/>
      <c r="D18" s="97" t="n"/>
      <c r="E18" s="98">
        <f>IFERROR(D18-C18, 0)</f>
        <v/>
      </c>
      <c r="F18" s="13" t="n"/>
      <c r="G18" s="13" t="n"/>
    </row>
    <row r="19" ht="20" customHeight="1">
      <c r="B19" s="4" t="inlineStr">
        <is>
          <t>⭐ TOTAL INTEREST SAVED</t>
        </is>
      </c>
      <c r="C19" s="99">
        <f>IFERROR(D18-C18, 0)</f>
        <v/>
      </c>
      <c r="D19" s="5" t="inlineStr">
        <is>
          <t>Maximum Savings</t>
        </is>
      </c>
      <c r="E19" s="6">
        <f>"Avalanche saves " &amp; TEXT(C19, "$#,##0") &amp; " in interest &amp; finishes " &amp; TEXT(E17, "0") &amp; " months earlier"</f>
        <v/>
      </c>
      <c r="F19" s="13" t="n"/>
      <c r="G19" s="13"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2" customHeight="1">
      <c r="B4" s="15" t="inlineStr">
        <is>
          <t>Age Bracket</t>
        </is>
      </c>
      <c r="C4" s="15" t="inlineStr">
        <is>
          <t>25th Pct</t>
        </is>
      </c>
      <c r="D4" s="15" t="inlineStr">
        <is>
          <t>50th (Median)</t>
        </is>
      </c>
      <c r="E4" s="15" t="inlineStr">
        <is>
          <t>75th Pct</t>
        </is>
      </c>
      <c r="F4" s="15" t="inlineStr">
        <is>
          <t>90th Pct</t>
        </is>
      </c>
      <c r="G4" s="15" t="inlineStr">
        <is>
          <t>95th Pct</t>
        </is>
      </c>
      <c r="H4" s="15" t="inlineStr">
        <is>
          <t>Top 1% (99th)</t>
        </is>
      </c>
    </row>
    <row r="5" ht="20" customHeight="1">
      <c r="B5" s="4" t="inlineStr">
        <is>
          <t>Under 35</t>
        </is>
      </c>
      <c r="C5" s="20" t="n">
        <v>4800</v>
      </c>
      <c r="D5" s="20" t="n">
        <v>39000</v>
      </c>
      <c r="E5" s="20" t="n">
        <v>145000</v>
      </c>
      <c r="F5" s="20" t="n">
        <v>380000</v>
      </c>
      <c r="G5" s="20" t="n">
        <v>750000</v>
      </c>
      <c r="H5" s="20" t="n">
        <v>2800000</v>
      </c>
    </row>
    <row r="6" ht="20" customHeight="1">
      <c r="B6" s="4" t="inlineStr">
        <is>
          <t>35 - 44</t>
        </is>
      </c>
      <c r="C6" s="20" t="n">
        <v>35000</v>
      </c>
      <c r="D6" s="20" t="n">
        <v>135600</v>
      </c>
      <c r="E6" s="20" t="n">
        <v>420000</v>
      </c>
      <c r="F6" s="20" t="n">
        <v>980000</v>
      </c>
      <c r="G6" s="20" t="n">
        <v>1850000</v>
      </c>
      <c r="H6" s="20" t="n">
        <v>5500000</v>
      </c>
    </row>
    <row r="7" ht="20" customHeight="1">
      <c r="B7" s="4" t="inlineStr">
        <is>
          <t>45 - 54</t>
        </is>
      </c>
      <c r="C7" s="20" t="n">
        <v>68000</v>
      </c>
      <c r="D7" s="20" t="n">
        <v>247200</v>
      </c>
      <c r="E7" s="20" t="n">
        <v>780000</v>
      </c>
      <c r="F7" s="20" t="n">
        <v>1950000</v>
      </c>
      <c r="G7" s="20" t="n">
        <v>3400000</v>
      </c>
      <c r="H7" s="20" t="n">
        <v>10200000</v>
      </c>
    </row>
    <row r="8" ht="20" customHeight="1">
      <c r="B8" s="4" t="inlineStr">
        <is>
          <t>55 - 64</t>
        </is>
      </c>
      <c r="C8" s="20" t="n">
        <v>95000</v>
      </c>
      <c r="D8" s="20" t="n">
        <v>364500</v>
      </c>
      <c r="E8" s="20" t="n">
        <v>1150000</v>
      </c>
      <c r="F8" s="20" t="n">
        <v>2800000</v>
      </c>
      <c r="G8" s="20" t="n">
        <v>4900000</v>
      </c>
      <c r="H8" s="20" t="n">
        <v>14500000</v>
      </c>
    </row>
    <row r="9" ht="20" customHeight="1">
      <c r="B9" s="4" t="inlineStr">
        <is>
          <t>65 - 74</t>
        </is>
      </c>
      <c r="C9" s="20" t="n">
        <v>110000</v>
      </c>
      <c r="D9" s="20" t="n">
        <v>409900</v>
      </c>
      <c r="E9" s="20" t="n">
        <v>1350000</v>
      </c>
      <c r="F9" s="20" t="n">
        <v>3200000</v>
      </c>
      <c r="G9" s="20" t="n">
        <v>5600000</v>
      </c>
      <c r="H9" s="20" t="n">
        <v>16800000</v>
      </c>
    </row>
    <row r="10" ht="20" customHeight="1">
      <c r="B10" s="4" t="inlineStr">
        <is>
          <t>75+</t>
        </is>
      </c>
      <c r="C10" s="20" t="n">
        <v>92000</v>
      </c>
      <c r="D10" s="20" t="n">
        <v>335600</v>
      </c>
      <c r="E10" s="20" t="n">
        <v>1050000</v>
      </c>
      <c r="F10" s="20" t="n">
        <v>2600000</v>
      </c>
      <c r="G10" s="20" t="n">
        <v>4700000</v>
      </c>
      <c r="H10" s="20" t="n">
        <v>13200000</v>
      </c>
    </row>
    <row r="13" ht="22" customHeight="1">
      <c r="B13" s="3" t="inlineStr">
        <is>
          <t>📍 US STATES WEALTH &amp; COST-OF-LIVING INDEX (ILLUSTRATIVE ESTIMATES)</t>
        </is>
      </c>
    </row>
    <row r="14" ht="18" customHeight="1">
      <c r="B14" s="2" t="inlineStr">
        <is>
          <t>Modeled using Fed SCF regional microdata combined with US Census Bureau state median income ratios.</t>
        </is>
      </c>
    </row>
    <row r="15" ht="20" customHeight="1">
      <c r="B15" s="48" t="inlineStr">
        <is>
          <t>US State</t>
        </is>
      </c>
      <c r="C15" s="48" t="inlineStr">
        <is>
          <t>Median NW (Est)</t>
        </is>
      </c>
      <c r="D15" s="48" t="inlineStr">
        <is>
          <t>Top 10% NW (Est)</t>
        </is>
      </c>
      <c r="E15" s="48" t="inlineStr">
        <is>
          <t>COL Index</t>
        </is>
      </c>
      <c r="F15" s="48" t="inlineStr">
        <is>
          <t>Median Home</t>
        </is>
      </c>
      <c r="G15" s="48" t="inlineStr">
        <is>
          <t>Tier</t>
        </is>
      </c>
      <c r="H15" s="48" t="inlineStr">
        <is>
          <t>Source Model</t>
        </is>
      </c>
    </row>
    <row r="16" ht="19" customHeight="1">
      <c r="B16" s="4" t="inlineStr">
        <is>
          <t>California (CA)</t>
        </is>
      </c>
      <c r="C16" s="100" t="n">
        <v>285000</v>
      </c>
      <c r="D16" s="100" t="n">
        <v>1250000</v>
      </c>
      <c r="E16" s="101" t="inlineStr">
        <is>
          <t>138.5 (HCOL)</t>
        </is>
      </c>
      <c r="F16" s="100" t="n">
        <v>785000</v>
      </c>
      <c r="G16" s="101" t="inlineStr">
        <is>
          <t>Top Tier</t>
        </is>
      </c>
      <c r="H16" s="6" t="inlineStr">
        <is>
          <t>Census/SCF Regional</t>
        </is>
      </c>
    </row>
    <row r="17" ht="19" customHeight="1">
      <c r="B17" s="4" t="inlineStr">
        <is>
          <t>New York (NY)</t>
        </is>
      </c>
      <c r="C17" s="100" t="n">
        <v>245000</v>
      </c>
      <c r="D17" s="100" t="n">
        <v>1180000</v>
      </c>
      <c r="E17" s="101" t="inlineStr">
        <is>
          <t>134.2 (HCOL)</t>
        </is>
      </c>
      <c r="F17" s="100" t="n">
        <v>650000</v>
      </c>
      <c r="G17" s="101" t="inlineStr">
        <is>
          <t>Top Tier</t>
        </is>
      </c>
      <c r="H17" s="6" t="inlineStr">
        <is>
          <t>Census/SCF Regional</t>
        </is>
      </c>
    </row>
    <row r="18" ht="19" customHeight="1">
      <c r="B18" s="4" t="inlineStr">
        <is>
          <t>Washington (WA)</t>
        </is>
      </c>
      <c r="C18" s="100" t="n">
        <v>275000</v>
      </c>
      <c r="D18" s="100" t="n">
        <v>1200000</v>
      </c>
      <c r="E18" s="101" t="inlineStr">
        <is>
          <t>115.1 (MCOL+)</t>
        </is>
      </c>
      <c r="F18" s="100" t="n">
        <v>610000</v>
      </c>
      <c r="G18" s="101" t="inlineStr">
        <is>
          <t>Top Tier</t>
        </is>
      </c>
      <c r="H18" s="6" t="inlineStr">
        <is>
          <t>Census/SCF Regional</t>
        </is>
      </c>
    </row>
    <row r="19" ht="19" customHeight="1">
      <c r="B19" s="4" t="inlineStr">
        <is>
          <t>Texas (TX)</t>
        </is>
      </c>
      <c r="C19" s="100" t="n">
        <v>175000</v>
      </c>
      <c r="D19" s="100" t="n">
        <v>820000</v>
      </c>
      <c r="E19" s="101" t="inlineStr">
        <is>
          <t>92.5 (LCOL)</t>
        </is>
      </c>
      <c r="F19" s="100" t="n">
        <v>345000</v>
      </c>
      <c r="G19" s="101" t="inlineStr">
        <is>
          <t>High Value</t>
        </is>
      </c>
      <c r="H19" s="6" t="inlineStr">
        <is>
          <t>Census/SCF Regional</t>
        </is>
      </c>
    </row>
    <row r="20" ht="19" customHeight="1">
      <c r="B20" s="4" t="inlineStr">
        <is>
          <t>Florida (FL)</t>
        </is>
      </c>
      <c r="C20" s="100" t="n">
        <v>195000</v>
      </c>
      <c r="D20" s="100" t="n">
        <v>890000</v>
      </c>
      <c r="E20" s="101" t="inlineStr">
        <is>
          <t>102.8 (Avg)</t>
        </is>
      </c>
      <c r="F20" s="100" t="n">
        <v>395000</v>
      </c>
      <c r="G20" s="101" t="inlineStr">
        <is>
          <t>Growing</t>
        </is>
      </c>
      <c r="H20" s="6" t="inlineStr">
        <is>
          <t>Census/SCF Regional</t>
        </is>
      </c>
    </row>
    <row r="21" ht="19" customHeight="1">
      <c r="B21" s="4" t="inlineStr">
        <is>
          <t>Massachusetts (MA)</t>
        </is>
      </c>
      <c r="C21" s="100" t="n">
        <v>295000</v>
      </c>
      <c r="D21" s="100" t="n">
        <v>1320000</v>
      </c>
      <c r="E21" s="101" t="inlineStr">
        <is>
          <t>148.0 (HCOL)</t>
        </is>
      </c>
      <c r="F21" s="100" t="n">
        <v>640000</v>
      </c>
      <c r="G21" s="101" t="inlineStr">
        <is>
          <t>Top Tier</t>
        </is>
      </c>
      <c r="H21" s="6" t="inlineStr">
        <is>
          <t>Census/SCF Regional</t>
        </is>
      </c>
    </row>
    <row r="22" ht="19" customHeight="1">
      <c r="B22" s="4" t="inlineStr">
        <is>
          <t>Illinois (IL)</t>
        </is>
      </c>
      <c r="C22" s="100" t="n">
        <v>185000</v>
      </c>
      <c r="D22" s="100" t="n">
        <v>860000</v>
      </c>
      <c r="E22" s="101" t="inlineStr">
        <is>
          <t>91.8 (LCOL)</t>
        </is>
      </c>
      <c r="F22" s="100" t="n">
        <v>275000</v>
      </c>
      <c r="G22" s="101" t="inlineStr">
        <is>
          <t>High Value</t>
        </is>
      </c>
      <c r="H22" s="6" t="inlineStr">
        <is>
          <t>Census/SCF Regional</t>
        </is>
      </c>
    </row>
    <row r="23" ht="19" customHeight="1">
      <c r="B23" s="4" t="inlineStr">
        <is>
          <t>Colorado (CO)</t>
        </is>
      </c>
      <c r="C23" s="100" t="n">
        <v>260000</v>
      </c>
      <c r="D23" s="100" t="n">
        <v>1100000</v>
      </c>
      <c r="E23" s="101" t="inlineStr">
        <is>
          <t>105.4 (Avg)</t>
        </is>
      </c>
      <c r="F23" s="100" t="n">
        <v>550000</v>
      </c>
      <c r="G23" s="101"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2026-10-23T06:35:02Z</dcterms:created>
  <dcterms:modified xsi:type="dcterms:W3CDTF">2026-10-23T06:35:02Z</dcterms:modified>
</cp:coreProperties>
</file>