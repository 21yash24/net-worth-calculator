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📊 Executive Dashboard" state="visible" r:id="rId4"/>
    <sheet sheetId="2" name="📅 12-Month Ledger" state="visible" r:id="rId5"/>
    <sheet sheetId="3" name="🔥 FIRE Engine" state="visible" r:id="rId6"/>
    <sheet sheetId="4" name="🛡️ Portfolio Health" state="visible" r:id="rId7"/>
    <sheet sheetId="5" name="💳 Debt Payoff" state="visible" r:id="rId8"/>
    <sheet sheetId="6" name="🏛️ Fed Benchmarks" state="visible" r:id="rId9"/>
    <sheet sheetId="7" name="📖 Quick Start Guide" state="visible" r:id="rId10"/>
  </sheets>
  <calcPr calcId="171027"/>
</workbook>
</file>

<file path=xl/sharedStrings.xml><?xml version="1.0" encoding="utf-8"?>
<sst xmlns="http://schemas.openxmlformats.org/spreadsheetml/2006/main" count="149" uniqueCount="145">
  <si>
    <t>🏛️ NET WORTH &amp; FINANCIAL INDEPENDENCE MASTER VAULT (2026 EDITION)</t>
  </si>
  <si>
    <t>Private Institutional Benchmarking Engine • Federal Reserve SCF 2022/2026 Microdata • Powered by GetNetWorthCalculator.com</t>
  </si>
  <si>
    <t>TOTAL NET WORTH</t>
  </si>
  <si>
    <t>LIQUID NET WORTH</t>
  </si>
  <si>
    <t>DEBT-TO-ASSET RATIO</t>
  </si>
  <si>
    <t>1-YEAR WEALTH GAIN</t>
  </si>
  <si>
    <t>FINANCIAL FREEDOM SCORE</t>
  </si>
  <si>
    <t>All Assets − Total Liabilities</t>
  </si>
  <si>
    <t>Investable (Excl. Home Equity)</t>
  </si>
  <si>
    <t>Target &lt; 30%</t>
  </si>
  <si>
    <t>Net change since Jan</t>
  </si>
  <si>
    <t>% of Standard FIRE Target</t>
  </si>
  <si>
    <t>🇺🇸 OFFICIAL US FEDERAL RESERVE (SCF) PERCENTILE BENCHMARK</t>
  </si>
  <si>
    <t>Your Current Age:</t>
  </si>
  <si>
    <t>Assigned Age Cohort:</t>
  </si>
  <si>
    <t>Your Net Worth:</t>
  </si>
  <si>
    <t>Median for Your Age (50th):</t>
  </si>
  <si>
    <t>Your Classified Wealth Class:</t>
  </si>
  <si>
    <t>Top 10% Cutoff (90th):</t>
  </si>
  <si>
    <t>🔥 FINANCIAL INDEPENDENCE (FIRE) FREEDOM SNAPSHOT</t>
  </si>
  <si>
    <t>Annual Living Expenses:</t>
  </si>
  <si>
    <t>Coast FIRE Status:</t>
  </si>
  <si>
    <t>Standard FIRE Target (4% Rule):</t>
  </si>
  <si>
    <t>Projected Freedom Year:</t>
  </si>
  <si>
    <t>📅 12-MONTH WEALTH ACCUMULATION LEDGER (2026)</t>
  </si>
  <si>
    <t>Month</t>
  </si>
  <si>
    <t>Gross Assets</t>
  </si>
  <si>
    <t>Liabilities</t>
  </si>
  <si>
    <t>MoM $ Change</t>
  </si>
  <si>
    <t>MoM % Change</t>
  </si>
  <si>
    <t>Checking</t>
  </si>
  <si>
    <t>High Yield (HYSA)</t>
  </si>
  <si>
    <t>Retirement 401k/IRA</t>
  </si>
  <si>
    <t>Taxable Brokerage</t>
  </si>
  <si>
    <t>Home Equity / RE</t>
  </si>
  <si>
    <t>Crypto / Alts</t>
  </si>
  <si>
    <t>Mortgage Balance</t>
  </si>
  <si>
    <t>Student Loans</t>
  </si>
  <si>
    <t>Credit/Other Debt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</si>
  <si>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</si>
  <si>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</si>
  <si>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</si>
  <si>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</si>
  <si>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</si>
  <si>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</si>
  <si>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</si>
  <si>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</si>
  <si>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</si>
  <si>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</si>
  <si>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</si>
  <si>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</si>
  <si>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AVERAGE (2026)</t>
  </si>
  <si>
    <t>LATEST RECORD:</t>
  </si>
  <si>
    <t>🔥 FINANCIAL INDEPENDENCE &amp; EARLY RETIREMENT (FIRE) ENGINE</t>
  </si>
  <si>
    <t>STEP 1: YOUR PERSONAL RETIREMENT INPUTS</t>
  </si>
  <si>
    <t>Current Age:</t>
  </si>
  <si>
    <t>Years old</t>
  </si>
  <si>
    <t>Target Retirement Age:</t>
  </si>
  <si>
    <t>When work becomes 100% optional</t>
  </si>
  <si>
    <t>Years Until Target Retirement:</t>
  </si>
  <si>
    <t>Years remaining to compound</t>
  </si>
  <si>
    <t>Annual Household Living Expenses:</t>
  </si>
  <si>
    <t>Cost to sustain your lifestyle in retirement</t>
  </si>
  <si>
    <t>Safe Withdrawal Rate (SWR):</t>
  </si>
  <si>
    <t>Trinity Study recommendation (4.0%)</t>
  </si>
  <si>
    <t>Expected Real Investment Return:</t>
  </si>
  <si>
    <t>Historical S&amp;P 500 inflation-adjusted (7.0%)</t>
  </si>
  <si>
    <t>STEP 2: YOUR CALCULATED FIRE TARGETS</t>
  </si>
  <si>
    <t>25x annual spending — full financial independence</t>
  </si>
  <si>
    <t>Lean FIRE Target (75% Spending):</t>
  </si>
  <si>
    <t>Essential living expenses covered without luxuries</t>
  </si>
  <si>
    <t>Fat FIRE Target (125% Spending):</t>
  </si>
  <si>
    <t>Abundant lifestyle with travel and high discretionary spend</t>
  </si>
  <si>
    <t>Barista FIRE Target (50% Covered):</t>
  </si>
  <si>
    <t>Portfolio covers 50%; casual/part-time work covers the rest</t>
  </si>
  <si>
    <t>Coast FIRE Milestone Required Today:</t>
  </si>
  <si>
    <t>Amount needed TODAY so you never have to save another cent</t>
  </si>
  <si>
    <t>STEP 3: AUTOMATED STATUS &amp; TIMELINE DIAGNOSTICS</t>
  </si>
  <si>
    <t>Current Liquid Capital:</t>
  </si>
  <si>
    <t>Gap to Full Standard FIRE:</t>
  </si>
  <si>
    <t>Monthly Investment Needed:</t>
  </si>
  <si>
    <t>Monthly contribution to hit FIRE by target age</t>
  </si>
  <si>
    <t>Estimated Calendar Year of Freedom:</t>
  </si>
  <si>
    <t>🛡️ ASSET ALLOCATION &amp; "CASH DRAG" INFLATION OPTIMIZER</t>
  </si>
  <si>
    <t>1. EMERGENCY FUND LIQUIDITY BENCHMARKS</t>
  </si>
  <si>
    <t>Monthly Living Expenses:</t>
  </si>
  <si>
    <t>3-Month Lean Target:</t>
  </si>
  <si>
    <t>Current Liquid Cash (Checking + HYSA):</t>
  </si>
  <si>
    <t>6-Month Safe Target:</t>
  </si>
  <si>
    <t>Current Emergency Fund Runway:</t>
  </si>
  <si>
    <t>12-Month Fortress Target:</t>
  </si>
  <si>
    <t>2. "CASH DRAG" INFLATION EROSION CALCULATOR</t>
  </si>
  <si>
    <t>Checking Account Balance (Earning ~0.01%):</t>
  </si>
  <si>
    <t>Ideal Checking Buffer (1 Month Expenses):</t>
  </si>
  <si>
    <t>Excess Idle Cash Drag:</t>
  </si>
  <si>
    <t>Annual Interest Lost (vs. 4.5% HYSA):</t>
  </si>
  <si>
    <t>⚠️ Free money left on table each year</t>
  </si>
  <si>
    <t>💳 DEBT ACCELERATOR: AVALANCHE (MATH) VS. SNOWBALL (MOMENTUM)</t>
  </si>
  <si>
    <t/>
  </si>
  <si>
    <t>Debt Description</t>
  </si>
  <si>
    <t>Current Balance</t>
  </si>
  <si>
    <t>Interest (APR)</t>
  </si>
  <si>
    <t>Min Payment</t>
  </si>
  <si>
    <t>Avalanche Priority</t>
  </si>
  <si>
    <t>Snowball Priority</t>
  </si>
  <si>
    <t>Credit Card A (Chase)</t>
  </si>
  <si>
    <t>Priority #1 (Highest APR)</t>
  </si>
  <si>
    <t>Rank #2 (Lowest Bal)</t>
  </si>
  <si>
    <t>Credit Card B (Amex)</t>
  </si>
  <si>
    <t>Priority #2 (Highest APR)</t>
  </si>
  <si>
    <t>Rank #1 (Lowest Bal)</t>
  </si>
  <si>
    <t>Auto Loan (Honda)</t>
  </si>
  <si>
    <t>Priority #3 (Highest APR)</t>
  </si>
  <si>
    <t>Rank #3 (Lowest Bal)</t>
  </si>
  <si>
    <t>Student Loan (Fed Subsidized)</t>
  </si>
  <si>
    <t>Priority #4 (Highest APR)</t>
  </si>
  <si>
    <t>Rank #4 (Lowest Bal)</t>
  </si>
  <si>
    <t>Primary Mortgage</t>
  </si>
  <si>
    <t>Priority #5 (Highest APR)</t>
  </si>
  <si>
    <t>Rank #5 (Lowest Bal)</t>
  </si>
  <si>
    <t>🏛️ US FEDERAL RESERVE BOARD — SURVEY OF CONSUMER FINANCES (SCF)</t>
  </si>
  <si>
    <t>Age Cohort</t>
  </si>
  <si>
    <t>10th Percentile</t>
  </si>
  <si>
    <t>25th Percentile</t>
  </si>
  <si>
    <t>50th (MEDIAN)</t>
  </si>
  <si>
    <t>75th Percentile</t>
  </si>
  <si>
    <t>90th (TOP 10%)</t>
  </si>
  <si>
    <t>99th (TOP 1%)</t>
  </si>
  <si>
    <t>Under 35</t>
  </si>
  <si>
    <t>35-44</t>
  </si>
  <si>
    <t>45-54</t>
  </si>
  <si>
    <t>55-64</t>
  </si>
  <si>
    <t>65-74</t>
  </si>
  <si>
    <t>75+</t>
  </si>
  <si>
    <t>📖 HOW TO USE YOUR MASTER WEALTH VAULT</t>
  </si>
  <si>
    <t>Google Sheets 1-Click Setup</t>
  </si>
  <si>
    <t>Open Google Drive (drive.google.com) → Click "+ New" → "File upload" → Select this .xlsx file → Click "Open with Google Sheets". Done!</t>
  </si>
  <si>
    <t>Microsoft Excel Setup</t>
  </si>
  <si>
    <t>Double-click the .xlsx file to open locally. All formulas, conditional formatting, and charts work 100% natively without plugins.</t>
  </si>
  <si>
    <t>Updating Monthly</t>
  </si>
  <si>
    <t>On the 1st of every month, head to the "📅 12-Month Ledger" tab and type in your updated account balances. All dashboard metrics update automatically.</t>
  </si>
  <si>
    <t>Customizing FIRE Targets</t>
  </si>
  <si>
    <t>Go to the "🔥 FIRE Engine" tab and update row 5 (Age), row 6 (Target Retirement Age), and row 8 (Annual Living Expenses).</t>
  </si>
  <si>
    <t>100% Privacy Guarantee</t>
  </si>
  <si>
    <t>This file lives solely on your personal computer or private Google Drive account. GetNetWorthCalculator.com has zero access to your numbers.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</si>
</sst>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"/>
    <numFmt numFmtId="165" formatCode="0.0%"/>
    <numFmt numFmtId="166" formatCode="0.0&quot;%&quot;"/>
    <numFmt numFmtId="167" formatCode="0.0 &quot;Months&quot;"/>
  </numFmts>
  <fonts count="21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i/>
      <color rgb="FF94A3B8"/>
      <sz val="9"/>
      <name val="Arial"/>
    </font>
    <font>
      <b/>
      <color rgb="FF94A3B8"/>
      <sz val="8"/>
      <name val="Arial"/>
    </font>
    <font>
      <b/>
      <color rgb="FF10B981"/>
      <sz val="14"/>
      <name val="Arial"/>
    </font>
    <font>
      <b/>
      <color rgb="FF3B82F6"/>
      <sz val="14"/>
      <name val="Arial"/>
    </font>
    <font>
      <b/>
      <color rgb="FFF59E0B"/>
      <sz val="14"/>
      <name val="Arial"/>
    </font>
    <font>
      <i/>
      <color rgb="FF94A3B8"/>
      <sz val="7.5"/>
      <name val="Arial"/>
    </font>
    <font>
      <b/>
      <color rgb="FFFFFFFF"/>
      <sz val="10"/>
      <name val="Arial"/>
    </font>
    <font>
      <b/>
    </font>
    <font>
      <b/>
      <color rgb="FF3B82F6"/>
    </font>
    <font>
      <b/>
      <color rgb="FF10B981"/>
    </font>
    <font>
      <b/>
      <color rgb="FFF59E0B"/>
    </font>
    <font>
      <b/>
      <color rgb="FFFFFFFF"/>
      <sz val="12"/>
      <name val="Arial"/>
    </font>
    <font>
      <b/>
      <color rgb="FFFFFFFF"/>
      <sz val="9"/>
      <name val="Arial"/>
    </font>
    <font>
      <b/>
      <color rgb="FFFFFFFF"/>
      <sz val="9"/>
    </font>
    <font>
      <i/>
      <color rgb="FF94A3B8"/>
      <sz val="8"/>
    </font>
    <font>
      <b/>
      <color rgb="FFF43F5E"/>
    </font>
    <font>
      <i/>
      <sz val="8"/>
    </font>
    <font>
      <b/>
      <color rgb="FF10B981"/>
      <sz val="10"/>
    </font>
    <font>
      <sz val="9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165" fontId="6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64" fontId="9" fillId="0" borderId="0" xfId="0" applyNumberFormat="1" applyFont="1"/>
    <xf numFmtId="0" fontId="12" fillId="0" borderId="0" xfId="0" applyFont="1"/>
    <xf numFmtId="164" fontId="11" fillId="0" borderId="0" xfId="0" applyNumberFormat="1" applyFont="1"/>
    <xf numFmtId="0" fontId="8" fillId="4" borderId="0" xfId="0" applyFont="1" applyFill="1" applyAlignment="1">
      <alignment horizontal="center" vertical="center"/>
    </xf>
    <xf numFmtId="164" fontId="0" fillId="0" borderId="0" xfId="0" applyNumberFormat="1"/>
    <xf numFmtId="0" fontId="11" fillId="0" borderId="0" xfId="0" applyFont="1"/>
    <xf numFmtId="0" fontId="13" fillId="2" borderId="0" xfId="0" applyFont="1" applyFill="1" applyAlignment="1">
      <alignment horizontal="center" vertical="center"/>
    </xf>
    <xf numFmtId="0" fontId="14" fillId="0" borderId="0" xfId="0" applyFont="1"/>
    <xf numFmtId="0" fontId="14" fillId="2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64" fontId="10" fillId="0" borderId="0" xfId="0" applyNumberFormat="1" applyFont="1"/>
    <xf numFmtId="165" fontId="0" fillId="0" borderId="0" xfId="0" applyNumberFormat="1"/>
    <xf numFmtId="165" fontId="9" fillId="0" borderId="0" xfId="0" applyNumberFormat="1" applyFont="1"/>
    <xf numFmtId="0" fontId="13" fillId="4" borderId="0" xfId="0" applyFont="1" applyFill="1" applyAlignment="1">
      <alignment horizontal="center" vertical="center"/>
    </xf>
    <xf numFmtId="0" fontId="15" fillId="2" borderId="0" xfId="0" applyFont="1" applyFill="1"/>
    <xf numFmtId="0" fontId="9" fillId="0" borderId="0" xfId="0" applyFont="1" applyAlignment="1">
      <alignment horizontal="center"/>
    </xf>
    <xf numFmtId="0" fontId="16" fillId="0" borderId="0" xfId="0" applyFont="1"/>
    <xf numFmtId="16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3" fillId="3" borderId="0" xfId="0" applyFont="1" applyFill="1" applyAlignment="1">
      <alignment horizontal="center" vertical="center"/>
    </xf>
    <xf numFmtId="167" fontId="11" fillId="0" borderId="0" xfId="0" applyNumberFormat="1" applyFont="1"/>
    <xf numFmtId="164" fontId="12" fillId="0" borderId="0" xfId="0" applyNumberFormat="1" applyFont="1"/>
    <xf numFmtId="164" fontId="17" fillId="0" borderId="0" xfId="0" applyNumberFormat="1" applyFont="1"/>
    <xf numFmtId="0" fontId="18" fillId="0" borderId="0" xfId="0" applyFont="1"/>
    <xf numFmtId="0" fontId="15" fillId="0" borderId="0" xfId="0" applyFont="1"/>
    <xf numFmtId="0" fontId="15" fillId="3" borderId="0" xfId="0" applyFont="1" applyFill="1" applyAlignment="1">
      <alignment horizontal="center"/>
    </xf>
    <xf numFmtId="10" fontId="0" fillId="0" borderId="0" xfId="0" applyNumberFormat="1"/>
    <xf numFmtId="0" fontId="10" fillId="0" borderId="0" xfId="0" applyFont="1"/>
    <xf numFmtId="0" fontId="19" fillId="0" borderId="0" xfId="0" applyFont="1"/>
    <xf numFmtId="0" fontId="2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6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6" customHeight="1" spans="2:6" x14ac:dyDescent="0.25">
      <c r="B2" s="1" t="s">
        <v>0</v>
      </c>
      <c r="C2" s="1"/>
      <c r="D2" s="1"/>
      <c r="E2" s="1"/>
      <c r="F2" s="1"/>
    </row>
    <row r="3" ht="20" customHeight="1" spans="2:6" x14ac:dyDescent="0.25">
      <c r="B3" s="2" t="s">
        <v>1</v>
      </c>
      <c r="C3" s="2"/>
      <c r="D3" s="2"/>
      <c r="E3" s="2"/>
      <c r="F3" s="2"/>
    </row>
    <row r="5" ht="18" customHeight="1" spans="2:6" x14ac:dyDescent="0.2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ht="32" customHeight="1" spans="2:6" x14ac:dyDescent="0.25">
      <c r="B6" s="4">
        <f>='📅 12-Month Ledger'!D19</f>
      </c>
      <c r="C6" s="5">
        <f>='📅 12-Month Ledger'!E19</f>
      </c>
      <c r="D6" s="6">
        <f>='📅 12-Month Ledger'!C19/'📅 12-Month Ledger'!B19</f>
      </c>
      <c r="E6" s="4">
        <f>='📅 12-Month Ledger'!D19-'📅 12-Month Ledger'!D8</f>
      </c>
      <c r="F6" s="7">
        <f>=MIN(100, ROUND(('📅 12-Month Ledger'!E19/'🔥 FIRE Engine'!D12)*100, 1))</f>
      </c>
    </row>
    <row r="7" ht="16" customHeight="1" spans="2:6" x14ac:dyDescent="0.25"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</row>
    <row r="9" ht="24" customHeight="1" spans="2:6" x14ac:dyDescent="0.25">
      <c r="B9" s="9" t="s">
        <v>12</v>
      </c>
      <c r="C9" s="9"/>
      <c r="D9" s="9"/>
      <c r="E9" s="9"/>
      <c r="F9" s="9"/>
    </row>
    <row r="10" spans="2:5" x14ac:dyDescent="0.25">
      <c r="B10" s="10" t="s">
        <v>13</v>
      </c>
      <c r="C10" s="11">
        <v>35</v>
      </c>
      <c r="D10" s="10" t="s">
        <v>14</v>
      </c>
      <c r="E10" s="12">
        <f>=IF(C10&lt;35,"Under 35",IF(C10&lt;=44,"35-44",IF(C10&lt;=54,"45-54",IF(C10&lt;=64,"55-64",IF(C10&lt;=74,"65-74","75+")))))</f>
      </c>
    </row>
    <row r="11" spans="2:5" x14ac:dyDescent="0.25">
      <c r="B11" s="10" t="s">
        <v>15</v>
      </c>
      <c r="C11" s="13">
        <f>='📅 12-Month Ledger'!D19</f>
      </c>
      <c r="D11" s="10" t="s">
        <v>16</v>
      </c>
      <c r="E11" s="13">
        <f>=VLOOKUP(E10,'🏛️ Fed Benchmarks'!A4:G9,4,FALSE)</f>
      </c>
    </row>
    <row r="12" spans="2:6" x14ac:dyDescent="0.25">
      <c r="B12" s="10" t="s">
        <v>17</v>
      </c>
      <c r="C12" s="14">
        <f>=IF(C11&gt;=30000000,"Ultra High Net Worth (Top 0.1%)",IF(C11&gt;=5000000,"Very High Net Worth (Top 1.3%)",IF(C11&gt;=1000000,"High Net Worth / Millionaire (Top 8.5%)",IF(C11&gt;=500000,"Upper Middle Class (Top 24%)",IF(C11&gt;=100000,"Middle Class (Top 50%)","Emerging Wealth")))))</f>
      </c>
      <c r="D12" s="14"/>
      <c r="E12" s="10" t="s">
        <v>18</v>
      </c>
      <c r="F12" s="15">
        <f>=VLOOKUP(E10,'🏛️ Fed Benchmarks'!A4:G9,6,FALSE)</f>
      </c>
    </row>
    <row r="14" ht="24" customHeight="1" spans="2:6" x14ac:dyDescent="0.25">
      <c r="B14" s="16" t="s">
        <v>19</v>
      </c>
      <c r="C14" s="16"/>
      <c r="D14" s="16"/>
      <c r="E14" s="16"/>
      <c r="F14" s="16"/>
    </row>
    <row r="15" spans="2:5" x14ac:dyDescent="0.25">
      <c r="B15" s="10" t="s">
        <v>20</v>
      </c>
      <c r="C15" s="17">
        <f>='🔥 FIRE Engine'!D8</f>
      </c>
      <c r="D15" s="10" t="s">
        <v>21</v>
      </c>
      <c r="E15" s="18">
        <f>='🔥 FIRE Engine'!D18</f>
      </c>
    </row>
    <row r="16" spans="2:5" x14ac:dyDescent="0.25">
      <c r="B16" s="10" t="s">
        <v>22</v>
      </c>
      <c r="C16" s="17">
        <f>='🔥 FIRE Engine'!D12</f>
      </c>
      <c r="D16" s="10" t="s">
        <v>23</v>
      </c>
      <c r="E16" s="14">
        <f>='🔥 FIRE Engine'!D22</f>
      </c>
    </row>
  </sheetData>
  <mergeCells count="5">
    <mergeCell ref="B2:F2"/>
    <mergeCell ref="B3:F3"/>
    <mergeCell ref="B9:F9"/>
    <mergeCell ref="C12:D12"/>
    <mergeCell ref="B14:F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19"/>
  <sheetViews>
    <sheetView workbookViewId="0"/>
  </sheetViews>
  <sheetFormatPr defaultRowHeight="15" outlineLevelRow="0" outlineLevelCol="0" x14ac:dyDescent="55"/>
  <cols>
    <col min="1" max="1" width="14" customWidth="1"/>
    <col min="2" max="3" width="16" customWidth="1"/>
    <col min="4" max="5" width="18" customWidth="1"/>
    <col min="6" max="6" width="14" customWidth="1"/>
    <col min="7" max="7" width="12" customWidth="1"/>
    <col min="8" max="16" width="14" customWidth="1"/>
  </cols>
  <sheetData>
    <row r="2" ht="30" customHeight="1" spans="1:16" x14ac:dyDescent="0.25">
      <c r="A2" s="19" t="s">
        <v>24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4" ht="26" customHeight="1" spans="1:16" s="20" customFormat="1" x14ac:dyDescent="0.25">
      <c r="A4" s="21" t="s">
        <v>25</v>
      </c>
      <c r="B4" s="21" t="s">
        <v>26</v>
      </c>
      <c r="C4" s="21" t="s">
        <v>27</v>
      </c>
      <c r="D4" s="21" t="s">
        <v>2</v>
      </c>
      <c r="E4" s="21" t="s">
        <v>3</v>
      </c>
      <c r="F4" s="21" t="s">
        <v>28</v>
      </c>
      <c r="G4" s="21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  <c r="N4" s="22" t="s">
        <v>36</v>
      </c>
      <c r="O4" s="22" t="s">
        <v>37</v>
      </c>
      <c r="P4" s="22" t="s">
        <v>38</v>
      </c>
    </row>
    <row r="5" ht="20" customHeight="1" spans="1:16" x14ac:dyDescent="0.25">
      <c r="A5" s="10" t="s">
        <v>39</v>
      </c>
      <c r="B5" s="17">
        <f>=SUM(H5:M5)</f>
      </c>
      <c r="C5" s="17">
        <f>=SUM(N5:P5)</f>
      </c>
      <c r="D5" s="15">
        <f>=B5-C5</f>
      </c>
      <c r="E5" s="23">
        <f>=SUM(H5:K5)-SUM(O5:P5)</f>
      </c>
      <c r="F5" s="17">
        <v>0</v>
      </c>
      <c r="G5" s="24">
        <v>0</v>
      </c>
      <c r="H5" s="17">
        <v>6000</v>
      </c>
      <c r="I5" s="17">
        <v>24000</v>
      </c>
      <c r="J5" s="17">
        <v>110000</v>
      </c>
      <c r="K5" s="17">
        <v>45000</v>
      </c>
      <c r="L5" s="17">
        <v>380000</v>
      </c>
      <c r="M5" s="17">
        <v>8000</v>
      </c>
      <c r="N5" s="17">
        <v>280000</v>
      </c>
      <c r="O5" s="17">
        <v>18000</v>
      </c>
      <c r="P5" s="17">
        <v>2500</v>
      </c>
    </row>
    <row r="6" ht="20" customHeight="1" spans="1:16" x14ac:dyDescent="0.25">
      <c r="A6" s="10" t="s">
        <v>40</v>
      </c>
      <c r="B6" s="17">
        <f>=SUM(H6:M6)</f>
      </c>
      <c r="C6" s="17">
        <f>=SUM(N6:P6)</f>
      </c>
      <c r="D6" s="15">
        <f>=B6-C6</f>
      </c>
      <c r="E6" s="23">
        <f>=SUM(H6:K6)-SUM(O6:P6)</f>
      </c>
      <c r="F6" s="17">
        <f>=D6-D5</f>
      </c>
      <c r="G6" s="24">
        <f>=IF(D5=0,0,(D6-D5)/D5)</f>
      </c>
      <c r="H6" s="17">
        <v>6500</v>
      </c>
      <c r="I6" s="17">
        <v>25000</v>
      </c>
      <c r="J6" s="17">
        <v>112500</v>
      </c>
      <c r="K6" s="17">
        <v>46200</v>
      </c>
      <c r="L6" s="17">
        <v>381000</v>
      </c>
      <c r="M6" s="17">
        <v>8400</v>
      </c>
      <c r="N6" s="17">
        <v>279200</v>
      </c>
      <c r="O6" s="17">
        <v>17600</v>
      </c>
      <c r="P6" s="17">
        <v>2100</v>
      </c>
    </row>
    <row r="7" ht="20" customHeight="1" spans="1:16" x14ac:dyDescent="0.25">
      <c r="A7" s="10" t="s">
        <v>41</v>
      </c>
      <c r="B7" s="17">
        <f>=SUM(H7:M7)</f>
      </c>
      <c r="C7" s="17">
        <f>=SUM(N7:P7)</f>
      </c>
      <c r="D7" s="15">
        <f>=B7-C7</f>
      </c>
      <c r="E7" s="23">
        <f>=SUM(H7:K7)-SUM(O7:P7)</f>
      </c>
      <c r="F7" s="17">
        <f>=D7-D6</f>
      </c>
      <c r="G7" s="24">
        <f>=IF(D6=0,0,(D7-D6)/D6)</f>
      </c>
      <c r="H7" s="17">
        <v>6200</v>
      </c>
      <c r="I7" s="17">
        <v>26000</v>
      </c>
      <c r="J7" s="17">
        <v>115000</v>
      </c>
      <c r="K7" s="17">
        <v>47500</v>
      </c>
      <c r="L7" s="17">
        <v>382000</v>
      </c>
      <c r="M7" s="17">
        <v>8200</v>
      </c>
      <c r="N7" s="17">
        <v>278400</v>
      </c>
      <c r="O7" s="17">
        <v>17200</v>
      </c>
      <c r="P7" s="17">
        <v>1800</v>
      </c>
    </row>
    <row r="8" ht="20" customHeight="1" spans="1:16" x14ac:dyDescent="0.25">
      <c r="A8" s="10" t="s">
        <v>42</v>
      </c>
      <c r="B8" s="17">
        <f>=SUM(H8:M8)</f>
      </c>
      <c r="C8" s="17">
        <f>=SUM(N8:P8)</f>
      </c>
      <c r="D8" s="15">
        <f>=B8-C8</f>
      </c>
      <c r="E8" s="23">
        <f>=SUM(H8:K8)-SUM(O8:P8)</f>
      </c>
      <c r="F8" s="17">
        <f>=D8-D7</f>
      </c>
      <c r="G8" s="24">
        <f>=IF(D7=0,0,(D8-D7)/D7)</f>
      </c>
      <c r="H8" s="17">
        <v>6800</v>
      </c>
      <c r="I8" s="17">
        <v>27000</v>
      </c>
      <c r="J8" s="17">
        <v>118000</v>
      </c>
      <c r="K8" s="17">
        <v>48900</v>
      </c>
      <c r="L8" s="17">
        <v>383000</v>
      </c>
      <c r="M8" s="17">
        <v>8900</v>
      </c>
      <c r="N8" s="17">
        <v>277600</v>
      </c>
      <c r="O8" s="17">
        <v>16800</v>
      </c>
      <c r="P8" s="17">
        <v>1500</v>
      </c>
    </row>
    <row r="9" ht="20" customHeight="1" spans="1:16" x14ac:dyDescent="0.25">
      <c r="A9" s="10" t="s">
        <v>43</v>
      </c>
      <c r="B9" s="17">
        <f>=SUM(H9:M9)</f>
      </c>
      <c r="C9" s="17">
        <f>=SUM(N9:P9)</f>
      </c>
      <c r="D9" s="15">
        <f>=B9-C9</f>
      </c>
      <c r="E9" s="23">
        <f>=SUM(H9:K9)-SUM(O9:P9)</f>
      </c>
      <c r="F9" s="17">
        <f>=D9-D8</f>
      </c>
      <c r="G9" s="24">
        <f>=IF(D8=0,0,(D9-D8)/D8)</f>
      </c>
      <c r="H9" s="17">
        <v>7000</v>
      </c>
      <c r="I9" s="17">
        <v>28000</v>
      </c>
      <c r="J9" s="17">
        <v>121000</v>
      </c>
      <c r="K9" s="17">
        <v>50200</v>
      </c>
      <c r="L9" s="17">
        <v>384000</v>
      </c>
      <c r="M9" s="17">
        <v>9100</v>
      </c>
      <c r="N9" s="17">
        <v>276800</v>
      </c>
      <c r="O9" s="17">
        <v>16400</v>
      </c>
      <c r="P9" s="17">
        <v>1200</v>
      </c>
    </row>
    <row r="10" ht="20" customHeight="1" spans="1:16" x14ac:dyDescent="0.25">
      <c r="A10" s="10" t="s">
        <v>44</v>
      </c>
      <c r="B10" s="17">
        <f>=SUM(H10:M10)</f>
      </c>
      <c r="C10" s="17">
        <f>=SUM(N10:P10)</f>
      </c>
      <c r="D10" s="15">
        <f>=B10-C10</f>
      </c>
      <c r="E10" s="23">
        <f>=SUM(H10:K10)-SUM(O10:P10)</f>
      </c>
      <c r="F10" s="17">
        <f>=D10-D9</f>
      </c>
      <c r="G10" s="24">
        <f>=IF(D9=0,0,(D10-D9)/D9)</f>
      </c>
      <c r="H10" s="17">
        <v>7200</v>
      </c>
      <c r="I10" s="17">
        <v>29000</v>
      </c>
      <c r="J10" s="17">
        <v>124500</v>
      </c>
      <c r="K10" s="17">
        <v>51800</v>
      </c>
      <c r="L10" s="17">
        <v>385000</v>
      </c>
      <c r="M10" s="17">
        <v>9400</v>
      </c>
      <c r="N10" s="17">
        <v>276000</v>
      </c>
      <c r="O10" s="17">
        <v>16000</v>
      </c>
      <c r="P10" s="17">
        <v>900</v>
      </c>
    </row>
    <row r="11" ht="20" customHeight="1" spans="1:16" x14ac:dyDescent="0.25">
      <c r="A11" s="10" t="s">
        <v>45</v>
      </c>
      <c r="B11" s="17">
        <f>=SUM(H11:M11)</f>
      </c>
      <c r="C11" s="17">
        <f>=SUM(N11:P11)</f>
      </c>
      <c r="D11" s="15">
        <f>=B11-C11</f>
      </c>
      <c r="E11" s="23">
        <f>=SUM(H11:K11)-SUM(O11:P11)</f>
      </c>
      <c r="F11" s="17">
        <f>=D11-D10</f>
      </c>
      <c r="G11" s="24">
        <f>=IF(D10=0,0,(D11-D10)/D10)</f>
      </c>
      <c r="H11" s="17">
        <v>7100</v>
      </c>
      <c r="I11" s="17">
        <v>30000</v>
      </c>
      <c r="J11" s="17">
        <v>128000</v>
      </c>
      <c r="K11" s="17">
        <v>53200</v>
      </c>
      <c r="L11" s="17">
        <v>386000</v>
      </c>
      <c r="M11" s="17">
        <v>9200</v>
      </c>
      <c r="N11" s="17">
        <v>275200</v>
      </c>
      <c r="O11" s="17">
        <v>15600</v>
      </c>
      <c r="P11" s="17">
        <v>700</v>
      </c>
    </row>
    <row r="12" ht="20" customHeight="1" spans="1:16" x14ac:dyDescent="0.25">
      <c r="A12" s="10" t="s">
        <v>46</v>
      </c>
      <c r="B12" s="17">
        <f>=SUM(H12:M12)</f>
      </c>
      <c r="C12" s="17">
        <f>=SUM(N12:P12)</f>
      </c>
      <c r="D12" s="15">
        <f>=B12-C12</f>
      </c>
      <c r="E12" s="23">
        <f>=SUM(H12:K12)-SUM(O12:P12)</f>
      </c>
      <c r="F12" s="17">
        <f>=D12-D11</f>
      </c>
      <c r="G12" s="24">
        <f>=IF(D11=0,0,(D12-D11)/D11)</f>
      </c>
      <c r="H12" s="17">
        <v>7500</v>
      </c>
      <c r="I12" s="17">
        <v>31000</v>
      </c>
      <c r="J12" s="17">
        <v>131500</v>
      </c>
      <c r="K12" s="17">
        <v>54900</v>
      </c>
      <c r="L12" s="17">
        <v>387000</v>
      </c>
      <c r="M12" s="17">
        <v>9800</v>
      </c>
      <c r="N12" s="17">
        <v>274400</v>
      </c>
      <c r="O12" s="17">
        <v>15200</v>
      </c>
      <c r="P12" s="17">
        <v>500</v>
      </c>
    </row>
    <row r="13" ht="20" customHeight="1" spans="1:16" x14ac:dyDescent="0.25">
      <c r="A13" s="10" t="s">
        <v>47</v>
      </c>
      <c r="B13" s="17">
        <f>=SUM(H13:M13)</f>
      </c>
      <c r="C13" s="17">
        <f>=SUM(N13:P13)</f>
      </c>
      <c r="D13" s="15">
        <f>=B13-C13</f>
      </c>
      <c r="E13" s="23">
        <f>=SUM(H13:K13)-SUM(O13:P13)</f>
      </c>
      <c r="F13" s="17">
        <f>=D13-D12</f>
      </c>
      <c r="G13" s="24">
        <f>=IF(D12=0,0,(D13-D12)/D12)</f>
      </c>
      <c r="H13" s="17">
        <v>7400</v>
      </c>
      <c r="I13" s="17">
        <v>32000</v>
      </c>
      <c r="J13" s="17">
        <v>135000</v>
      </c>
      <c r="K13" s="17">
        <v>56400</v>
      </c>
      <c r="L13" s="17">
        <v>388000</v>
      </c>
      <c r="M13" s="17">
        <v>10100</v>
      </c>
      <c r="N13" s="17">
        <v>273600</v>
      </c>
      <c r="O13" s="17">
        <v>14800</v>
      </c>
      <c r="P13" s="17">
        <v>400</v>
      </c>
    </row>
    <row r="14" ht="20" customHeight="1" spans="1:16" x14ac:dyDescent="0.25">
      <c r="A14" s="10" t="s">
        <v>48</v>
      </c>
      <c r="B14" s="17">
        <f>=SUM(H14:M14)</f>
      </c>
      <c r="C14" s="17">
        <f>=SUM(N14:P14)</f>
      </c>
      <c r="D14" s="15">
        <f>=B14-C14</f>
      </c>
      <c r="E14" s="23">
        <f>=SUM(H14:K14)-SUM(O14:P14)</f>
      </c>
      <c r="F14" s="17">
        <f>=D14-D13</f>
      </c>
      <c r="G14" s="24">
        <f>=IF(D13=0,0,(D14-D13)/D13)</f>
      </c>
      <c r="H14" s="17">
        <v>7800</v>
      </c>
      <c r="I14" s="17">
        <v>33000</v>
      </c>
      <c r="J14" s="17">
        <v>139000</v>
      </c>
      <c r="K14" s="17">
        <v>58200</v>
      </c>
      <c r="L14" s="17">
        <v>389000</v>
      </c>
      <c r="M14" s="17">
        <v>10500</v>
      </c>
      <c r="N14" s="17">
        <v>272800</v>
      </c>
      <c r="O14" s="17">
        <v>14400</v>
      </c>
      <c r="P14" s="17">
        <v>200</v>
      </c>
    </row>
    <row r="15" ht="20" customHeight="1" spans="1:16" x14ac:dyDescent="0.25">
      <c r="A15" s="10" t="s">
        <v>49</v>
      </c>
      <c r="B15" s="17">
        <f>=SUM(H15:M15)</f>
      </c>
      <c r="C15" s="17">
        <f>=SUM(N15:P15)</f>
      </c>
      <c r="D15" s="15">
        <f>=B15-C15</f>
      </c>
      <c r="E15" s="23">
        <f>=SUM(H15:K15)-SUM(O15:P15)</f>
      </c>
      <c r="F15" s="17">
        <f>=D15-D14</f>
      </c>
      <c r="G15" s="24">
        <f>=IF(D14=0,0,(D15-D14)/D14)</f>
      </c>
      <c r="H15" s="17">
        <v>8000</v>
      </c>
      <c r="I15" s="17">
        <v>34000</v>
      </c>
      <c r="J15" s="17">
        <v>143000</v>
      </c>
      <c r="K15" s="17">
        <v>60100</v>
      </c>
      <c r="L15" s="17">
        <v>390000</v>
      </c>
      <c r="M15" s="17">
        <v>10900</v>
      </c>
      <c r="N15" s="17">
        <v>272000</v>
      </c>
      <c r="O15" s="17">
        <v>14000</v>
      </c>
      <c r="P15" s="17">
        <v>100</v>
      </c>
    </row>
    <row r="16" ht="20" customHeight="1" spans="1:16" x14ac:dyDescent="0.25">
      <c r="A16" s="10" t="s">
        <v>50</v>
      </c>
      <c r="B16" s="17">
        <f>=SUM(H16:M16)</f>
      </c>
      <c r="C16" s="17">
        <f>=SUM(N16:P16)</f>
      </c>
      <c r="D16" s="15">
        <f>=B16-C16</f>
      </c>
      <c r="E16" s="23">
        <f>=SUM(H16:K16)-SUM(O16:P16)</f>
      </c>
      <c r="F16" s="17">
        <f>=D16-D15</f>
      </c>
      <c r="G16" s="24">
        <f>=IF(D15=0,0,(D16-D15)/D15)</f>
      </c>
      <c r="H16" s="17">
        <v>8500</v>
      </c>
      <c r="I16" s="17">
        <v>35000</v>
      </c>
      <c r="J16" s="17">
        <v>147500</v>
      </c>
      <c r="K16" s="17">
        <v>62000</v>
      </c>
      <c r="L16" s="17">
        <v>391000</v>
      </c>
      <c r="M16" s="17">
        <v>11400</v>
      </c>
      <c r="N16" s="17">
        <v>271200</v>
      </c>
      <c r="O16" s="17">
        <v>13600</v>
      </c>
      <c r="P16" s="17">
        <v>0</v>
      </c>
    </row>
    <row r="18" ht="24" customHeight="1" spans="1:16" x14ac:dyDescent="0.25">
      <c r="A18" s="10" t="s">
        <v>51</v>
      </c>
      <c r="B18" s="13">
        <f>=AVERAGE(B5:B16)</f>
      </c>
      <c r="C18" s="13">
        <f>=AVERAGE(C5:C16)</f>
      </c>
      <c r="D18" s="13">
        <f>=AVERAGE(D5:D16)</f>
      </c>
      <c r="E18" s="13">
        <f>=AVERAGE(E5:E16)</f>
      </c>
      <c r="F18" s="13">
        <f>=AVERAGE(F5:F16)</f>
      </c>
      <c r="G18" s="25">
        <f>=AVERAGE(G5:G16)</f>
      </c>
      <c r="H18" s="13">
        <f>=AVERAGE(H5:H16)</f>
      </c>
      <c r="I18" s="13">
        <f>=AVERAGE(I5:I16)</f>
      </c>
      <c r="J18" s="13">
        <f>=AVERAGE(J5:J16)</f>
      </c>
      <c r="K18" s="13">
        <f>=AVERAGE(K5:K16)</f>
      </c>
      <c r="L18" s="13">
        <f>=AVERAGE(L5:L16)</f>
      </c>
      <c r="M18" s="13">
        <f>=AVERAGE(M5:M16)</f>
      </c>
      <c r="N18" s="13">
        <f>=AVERAGE(N5:N16)</f>
      </c>
      <c r="O18" s="13">
        <f>=AVERAGE(O5:O16)</f>
      </c>
      <c r="P18" s="13">
        <f>=AVERAGE(P5:P16)</f>
      </c>
    </row>
    <row r="19" spans="1:16" x14ac:dyDescent="0.25">
      <c r="A19" s="18" t="s">
        <v>52</v>
      </c>
      <c r="B19" s="13">
        <f>=B16</f>
      </c>
      <c r="C19" s="13">
        <f>=C16</f>
      </c>
      <c r="D19" s="13">
        <f>=D16</f>
      </c>
      <c r="E19" s="13">
        <f>=E16</f>
      </c>
      <c r="F19" s="13">
        <f>=F16</f>
      </c>
      <c r="G19" s="25">
        <f>=G16</f>
      </c>
      <c r="H19" s="13">
        <f>=H16</f>
      </c>
      <c r="I19" s="13">
        <f>=I16</f>
      </c>
      <c r="J19" s="13">
        <f>=J16</f>
      </c>
      <c r="K19" s="13">
        <f>=K16</f>
      </c>
      <c r="L19" s="13">
        <f>=L16</f>
      </c>
      <c r="M19" s="13">
        <f>=M16</f>
      </c>
      <c r="N19" s="13">
        <f>=N16</f>
      </c>
      <c r="O19" s="13">
        <f>=O16</f>
      </c>
      <c r="P19" s="13">
        <f>=P16</f>
      </c>
    </row>
  </sheetData>
  <mergeCells count="1">
    <mergeCell ref="A2:P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2"/>
  <sheetViews>
    <sheetView workbookViewId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22" customWidth="1"/>
    <col min="5" max="5" width="30" customWidth="1"/>
  </cols>
  <sheetData>
    <row r="2" ht="32" customHeight="1" spans="2:5" x14ac:dyDescent="0.25">
      <c r="B2" s="26" t="s">
        <v>53</v>
      </c>
      <c r="C2" s="26"/>
      <c r="D2" s="26"/>
      <c r="E2" s="26"/>
    </row>
    <row r="4" spans="2:5" x14ac:dyDescent="0.25">
      <c r="B4" s="27" t="s">
        <v>54</v>
      </c>
      <c r="C4" s="27"/>
      <c r="D4" s="27"/>
      <c r="E4" s="27"/>
    </row>
    <row r="5" spans="2:5" x14ac:dyDescent="0.25">
      <c r="B5" s="10" t="s">
        <v>55</v>
      </c>
      <c r="D5" s="28">
        <v>32</v>
      </c>
      <c r="E5" s="29" t="s">
        <v>56</v>
      </c>
    </row>
    <row r="6" spans="2:5" x14ac:dyDescent="0.25">
      <c r="B6" s="10" t="s">
        <v>57</v>
      </c>
      <c r="D6" s="28">
        <v>55</v>
      </c>
      <c r="E6" s="29" t="s">
        <v>58</v>
      </c>
    </row>
    <row r="7" spans="2:5" x14ac:dyDescent="0.25">
      <c r="B7" s="10" t="s">
        <v>59</v>
      </c>
      <c r="D7" s="28">
        <f>=D6-D5</f>
      </c>
      <c r="E7" s="29" t="s">
        <v>60</v>
      </c>
    </row>
    <row r="8" spans="2:5" x14ac:dyDescent="0.25">
      <c r="B8" s="10" t="s">
        <v>61</v>
      </c>
      <c r="D8" s="30">
        <v>65000</v>
      </c>
      <c r="E8" s="29" t="s">
        <v>62</v>
      </c>
    </row>
    <row r="9" spans="2:5" x14ac:dyDescent="0.25">
      <c r="B9" s="10" t="s">
        <v>63</v>
      </c>
      <c r="D9" s="31">
        <v>0.04</v>
      </c>
      <c r="E9" s="29" t="s">
        <v>64</v>
      </c>
    </row>
    <row r="10" spans="2:5" x14ac:dyDescent="0.25">
      <c r="B10" s="10" t="s">
        <v>65</v>
      </c>
      <c r="D10" s="31">
        <v>0.07</v>
      </c>
      <c r="E10" s="29" t="s">
        <v>66</v>
      </c>
    </row>
    <row r="11" spans="2:5" x14ac:dyDescent="0.25">
      <c r="B11" s="27" t="s">
        <v>67</v>
      </c>
      <c r="C11" s="27"/>
      <c r="D11" s="27"/>
      <c r="E11" s="27"/>
    </row>
    <row r="12" spans="2:5" x14ac:dyDescent="0.25">
      <c r="B12" s="10" t="s">
        <v>22</v>
      </c>
      <c r="D12" s="32">
        <f>=D8/D9</f>
      </c>
      <c r="E12" s="29" t="s">
        <v>68</v>
      </c>
    </row>
    <row r="13" spans="2:5" x14ac:dyDescent="0.25">
      <c r="B13" s="10" t="s">
        <v>69</v>
      </c>
      <c r="D13" s="32">
        <f>=D12*0.75</f>
      </c>
      <c r="E13" s="29" t="s">
        <v>70</v>
      </c>
    </row>
    <row r="14" spans="2:5" x14ac:dyDescent="0.25">
      <c r="B14" s="10" t="s">
        <v>71</v>
      </c>
      <c r="D14" s="32">
        <f>=D12*1.25</f>
      </c>
      <c r="E14" s="29" t="s">
        <v>72</v>
      </c>
    </row>
    <row r="15" spans="2:5" x14ac:dyDescent="0.25">
      <c r="B15" s="10" t="s">
        <v>73</v>
      </c>
      <c r="D15" s="32">
        <f>=D12*0.5</f>
      </c>
      <c r="E15" s="29" t="s">
        <v>74</v>
      </c>
    </row>
    <row r="16" spans="2:5" x14ac:dyDescent="0.25">
      <c r="B16" s="10" t="s">
        <v>75</v>
      </c>
      <c r="D16" s="32">
        <f>=D12/((1+D10)^D7)</f>
      </c>
      <c r="E16" s="29" t="s">
        <v>76</v>
      </c>
    </row>
    <row r="17" spans="2:5" x14ac:dyDescent="0.25">
      <c r="B17" s="27" t="s">
        <v>77</v>
      </c>
      <c r="C17" s="27"/>
      <c r="D17" s="27"/>
      <c r="E17" s="27"/>
    </row>
    <row r="18" spans="2:4" x14ac:dyDescent="0.25">
      <c r="B18" s="10" t="s">
        <v>21</v>
      </c>
      <c r="D18" s="18">
        <f>=IF('📅 12-Month Ledger'!E19&gt;=D16,"✅ ACHIEVED! Work is optional.","⏳ In Progress — Need " &amp; TEXT(D16-'📅 12-Month Ledger'!E19,"$#,##0"))</f>
      </c>
    </row>
    <row r="19" spans="2:4" x14ac:dyDescent="0.25">
      <c r="B19" s="10" t="s">
        <v>78</v>
      </c>
      <c r="D19" s="17">
        <f>='📅 12-Month Ledger'!E19</f>
      </c>
    </row>
    <row r="20" spans="2:4" x14ac:dyDescent="0.25">
      <c r="B20" s="10" t="s">
        <v>79</v>
      </c>
      <c r="D20" s="17">
        <f>=MAX(0, D12-D19)</f>
      </c>
    </row>
    <row r="21" spans="2:5" x14ac:dyDescent="0.25">
      <c r="B21" s="10" t="s">
        <v>80</v>
      </c>
      <c r="D21" s="17">
        <f>=PMT(D10/12, D7*12, -D19, D12)</f>
      </c>
      <c r="E21" t="s">
        <v>81</v>
      </c>
    </row>
    <row r="22" spans="2:4" x14ac:dyDescent="0.25">
      <c r="B22" s="10" t="s">
        <v>82</v>
      </c>
      <c r="D22" s="33">
        <f>=YEAR(TODAY())+D7</f>
      </c>
    </row>
  </sheetData>
  <mergeCells count="4">
    <mergeCell ref="B2:E2"/>
    <mergeCell ref="B4:E4"/>
    <mergeCell ref="B11:E11"/>
    <mergeCell ref="B17:E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3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4" width="18" customWidth="1"/>
    <col min="5" max="5" width="20" customWidth="1"/>
    <col min="6" max="6" width="28" customWidth="1"/>
  </cols>
  <sheetData>
    <row r="2" ht="30" customHeight="1" spans="2:6" x14ac:dyDescent="0.25">
      <c r="B2" s="34" t="s">
        <v>83</v>
      </c>
      <c r="C2" s="34"/>
      <c r="D2" s="34"/>
      <c r="E2" s="34"/>
      <c r="F2" s="34"/>
    </row>
    <row r="4" spans="2:6" x14ac:dyDescent="0.25">
      <c r="B4" s="27" t="s">
        <v>84</v>
      </c>
      <c r="C4" s="27"/>
      <c r="D4" s="27"/>
      <c r="E4" s="27"/>
      <c r="F4" s="27"/>
    </row>
    <row r="5" spans="2:5" x14ac:dyDescent="0.25">
      <c r="B5" t="s">
        <v>85</v>
      </c>
      <c r="C5" s="13">
        <f>='🔥 FIRE Engine'!D8/12</f>
      </c>
      <c r="D5" t="s">
        <v>86</v>
      </c>
      <c r="E5" s="17">
        <f>=C5*3</f>
      </c>
    </row>
    <row r="6" spans="2:5" x14ac:dyDescent="0.25">
      <c r="B6" t="s">
        <v>87</v>
      </c>
      <c r="C6" s="13">
        <f>='📅 12-Month Ledger'!H19+'📅 12-Month Ledger'!I19</f>
      </c>
      <c r="D6" t="s">
        <v>88</v>
      </c>
      <c r="E6" s="17">
        <f>=C5*6</f>
      </c>
    </row>
    <row r="7" spans="2:5" x14ac:dyDescent="0.25">
      <c r="B7" t="s">
        <v>89</v>
      </c>
      <c r="C7" s="35">
        <f>=C6/C5</f>
      </c>
      <c r="D7" t="s">
        <v>90</v>
      </c>
      <c r="E7" s="17">
        <f>=C5*12</f>
      </c>
    </row>
    <row r="9" spans="2:6" x14ac:dyDescent="0.25">
      <c r="B9" s="27" t="s">
        <v>91</v>
      </c>
      <c r="C9" s="27"/>
      <c r="D9" s="27"/>
      <c r="E9" s="27"/>
      <c r="F9" s="27"/>
    </row>
    <row r="10" spans="2:3" x14ac:dyDescent="0.25">
      <c r="B10" t="s">
        <v>92</v>
      </c>
      <c r="C10" s="17">
        <f>='📅 12-Month Ledger'!H19</f>
      </c>
    </row>
    <row r="11" spans="2:3" x14ac:dyDescent="0.25">
      <c r="B11" t="s">
        <v>93</v>
      </c>
      <c r="C11" s="17">
        <f>=C5</f>
      </c>
    </row>
    <row r="12" spans="2:3" x14ac:dyDescent="0.25">
      <c r="B12" t="s">
        <v>94</v>
      </c>
      <c r="C12" s="36">
        <f>=MAX(0, C10-C11)</f>
      </c>
    </row>
    <row r="13" spans="2:4" x14ac:dyDescent="0.25">
      <c r="B13" t="s">
        <v>95</v>
      </c>
      <c r="C13" s="37">
        <f>=C12*0.045</f>
      </c>
      <c r="D13" s="38" t="s">
        <v>96</v>
      </c>
    </row>
  </sheetData>
  <mergeCells count="3">
    <mergeCell ref="B2:F2"/>
    <mergeCell ref="B4:F4"/>
    <mergeCell ref="B9:F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9"/>
  <sheetViews>
    <sheetView workbookViewId="0"/>
  </sheetViews>
  <sheetFormatPr defaultRowHeight="15" outlineLevelRow="0" outlineLevelCol="0" x14ac:dyDescent="55"/>
  <cols>
    <col min="1" max="1" width="4" customWidth="1"/>
    <col min="2" max="2" width="22" customWidth="1"/>
    <col min="3" max="3" width="16" customWidth="1"/>
    <col min="4" max="4" width="14" customWidth="1"/>
    <col min="5" max="5" width="16" customWidth="1"/>
    <col min="6" max="7" width="20" customWidth="1"/>
  </cols>
  <sheetData>
    <row r="2" ht="30" customHeight="1" spans="2:7" x14ac:dyDescent="0.25">
      <c r="B2" s="19" t="s">
        <v>97</v>
      </c>
      <c r="C2" s="19"/>
      <c r="D2" s="19"/>
      <c r="E2" s="19"/>
      <c r="F2" s="19"/>
      <c r="G2" s="19"/>
    </row>
    <row r="4" spans="1:7" s="39" customFormat="1" x14ac:dyDescent="0.25">
      <c r="A4" s="39" t="s">
        <v>98</v>
      </c>
      <c r="B4" s="40" t="s">
        <v>99</v>
      </c>
      <c r="C4" s="40" t="s">
        <v>100</v>
      </c>
      <c r="D4" s="40" t="s">
        <v>101</v>
      </c>
      <c r="E4" s="40" t="s">
        <v>102</v>
      </c>
      <c r="F4" s="40" t="s">
        <v>103</v>
      </c>
      <c r="G4" s="40" t="s">
        <v>104</v>
      </c>
    </row>
    <row r="5" spans="2:7" x14ac:dyDescent="0.25">
      <c r="B5" t="s">
        <v>105</v>
      </c>
      <c r="C5" s="17">
        <v>3200</v>
      </c>
      <c r="D5" s="41">
        <v>0.2499</v>
      </c>
      <c r="E5" s="17">
        <v>95</v>
      </c>
      <c r="F5" s="18" t="s">
        <v>106</v>
      </c>
      <c r="G5" s="42" t="s">
        <v>107</v>
      </c>
    </row>
    <row r="6" spans="2:7" x14ac:dyDescent="0.25">
      <c r="B6" t="s">
        <v>108</v>
      </c>
      <c r="C6" s="17">
        <v>1800</v>
      </c>
      <c r="D6" s="41">
        <v>0.2249</v>
      </c>
      <c r="E6" s="17">
        <v>65</v>
      </c>
      <c r="F6" s="18" t="s">
        <v>109</v>
      </c>
      <c r="G6" s="42" t="s">
        <v>110</v>
      </c>
    </row>
    <row r="7" spans="2:7" x14ac:dyDescent="0.25">
      <c r="B7" t="s">
        <v>111</v>
      </c>
      <c r="C7" s="17">
        <v>12400</v>
      </c>
      <c r="D7" s="41">
        <v>0.0549</v>
      </c>
      <c r="E7" s="17">
        <v>320</v>
      </c>
      <c r="F7" s="18" t="s">
        <v>112</v>
      </c>
      <c r="G7" s="42" t="s">
        <v>113</v>
      </c>
    </row>
    <row r="8" spans="2:7" x14ac:dyDescent="0.25">
      <c r="B8" t="s">
        <v>114</v>
      </c>
      <c r="C8" s="17">
        <v>18000</v>
      </c>
      <c r="D8" s="41">
        <v>0.0425</v>
      </c>
      <c r="E8" s="17">
        <v>195</v>
      </c>
      <c r="F8" s="18" t="s">
        <v>115</v>
      </c>
      <c r="G8" s="42" t="s">
        <v>116</v>
      </c>
    </row>
    <row r="9" spans="2:7" x14ac:dyDescent="0.25">
      <c r="B9" t="s">
        <v>117</v>
      </c>
      <c r="C9" s="17">
        <v>275000</v>
      </c>
      <c r="D9" s="41">
        <v>0.0335</v>
      </c>
      <c r="E9" s="17">
        <v>1450</v>
      </c>
      <c r="F9" s="18" t="s">
        <v>118</v>
      </c>
      <c r="G9" s="42" t="s">
        <v>119</v>
      </c>
    </row>
  </sheetData>
  <mergeCells count="1">
    <mergeCell ref="B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9"/>
  <sheetViews>
    <sheetView workbookViewId="0"/>
  </sheetViews>
  <sheetFormatPr defaultRowHeight="15" outlineLevelRow="0" outlineLevelCol="0" x14ac:dyDescent="55"/>
  <cols>
    <col min="1" max="3" width="16" customWidth="1"/>
    <col min="4" max="4" width="18" customWidth="1"/>
    <col min="5" max="5" width="16" customWidth="1"/>
    <col min="6" max="7" width="18" customWidth="1"/>
  </cols>
  <sheetData>
    <row r="2" ht="30" customHeight="1" spans="1:7" x14ac:dyDescent="0.25">
      <c r="A2" s="19" t="s">
        <v>120</v>
      </c>
      <c r="B2" s="19"/>
      <c r="C2" s="19"/>
      <c r="D2" s="19"/>
      <c r="E2" s="19"/>
      <c r="F2" s="19"/>
      <c r="G2" s="19"/>
    </row>
    <row r="3" spans="1:7" s="39" customFormat="1" x14ac:dyDescent="0.25">
      <c r="A3" s="40" t="s">
        <v>121</v>
      </c>
      <c r="B3" s="40" t="s">
        <v>122</v>
      </c>
      <c r="C3" s="40" t="s">
        <v>123</v>
      </c>
      <c r="D3" s="40" t="s">
        <v>124</v>
      </c>
      <c r="E3" s="40" t="s">
        <v>125</v>
      </c>
      <c r="F3" s="40" t="s">
        <v>126</v>
      </c>
      <c r="G3" s="40" t="s">
        <v>127</v>
      </c>
    </row>
    <row r="4" spans="1:7" x14ac:dyDescent="0.25">
      <c r="A4" s="10" t="s">
        <v>128</v>
      </c>
      <c r="B4" s="17">
        <v>-5000</v>
      </c>
      <c r="C4" s="17">
        <v>3200</v>
      </c>
      <c r="D4" s="15">
        <v>39000</v>
      </c>
      <c r="E4" s="17">
        <v>145000</v>
      </c>
      <c r="F4" s="36">
        <v>340000</v>
      </c>
      <c r="G4" s="17">
        <v>1400000</v>
      </c>
    </row>
    <row r="5" spans="1:7" x14ac:dyDescent="0.25">
      <c r="A5" s="10" t="s">
        <v>129</v>
      </c>
      <c r="B5" s="17">
        <v>-12000</v>
      </c>
      <c r="C5" s="17">
        <v>24000</v>
      </c>
      <c r="D5" s="15">
        <v>135600</v>
      </c>
      <c r="E5" s="17">
        <v>410000</v>
      </c>
      <c r="F5" s="36">
        <v>980000</v>
      </c>
      <c r="G5" s="17">
        <v>4500000</v>
      </c>
    </row>
    <row r="6" spans="1:7" x14ac:dyDescent="0.25">
      <c r="A6" s="10" t="s">
        <v>130</v>
      </c>
      <c r="B6" s="17">
        <v>-8000</v>
      </c>
      <c r="C6" s="17">
        <v>48000</v>
      </c>
      <c r="D6" s="15">
        <v>247200</v>
      </c>
      <c r="E6" s="17">
        <v>780000</v>
      </c>
      <c r="F6" s="36">
        <v>1950000</v>
      </c>
      <c r="G6" s="17">
        <v>9200000</v>
      </c>
    </row>
    <row r="7" spans="1:7" x14ac:dyDescent="0.25">
      <c r="A7" s="10" t="s">
        <v>131</v>
      </c>
      <c r="B7" s="17">
        <v>-2000</v>
      </c>
      <c r="C7" s="17">
        <v>65000</v>
      </c>
      <c r="D7" s="15">
        <v>364500</v>
      </c>
      <c r="E7" s="17">
        <v>1150000</v>
      </c>
      <c r="F7" s="36">
        <v>2800000</v>
      </c>
      <c r="G7" s="17">
        <v>14500000</v>
      </c>
    </row>
    <row r="8" spans="1:7" x14ac:dyDescent="0.25">
      <c r="A8" s="10" t="s">
        <v>132</v>
      </c>
      <c r="B8" s="17">
        <v>2000</v>
      </c>
      <c r="C8" s="17">
        <v>82000</v>
      </c>
      <c r="D8" s="15">
        <v>409900</v>
      </c>
      <c r="E8" s="17">
        <v>1380000</v>
      </c>
      <c r="F8" s="36">
        <v>3400000</v>
      </c>
      <c r="G8" s="17">
        <v>17800000</v>
      </c>
    </row>
    <row r="9" spans="1:7" x14ac:dyDescent="0.25">
      <c r="A9" s="10" t="s">
        <v>133</v>
      </c>
      <c r="B9" s="17">
        <v>5000</v>
      </c>
      <c r="C9" s="17">
        <v>75000</v>
      </c>
      <c r="D9" s="15">
        <v>335600</v>
      </c>
      <c r="E9" s="17">
        <v>1100000</v>
      </c>
      <c r="F9" s="36">
        <v>2900000</v>
      </c>
      <c r="G9" s="17">
        <v>15200000</v>
      </c>
    </row>
  </sheetData>
  <mergeCells count="1"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65" customWidth="1"/>
  </cols>
  <sheetData>
    <row r="2" ht="30" customHeight="1" spans="2:3" x14ac:dyDescent="0.25">
      <c r="B2" s="26" t="s">
        <v>134</v>
      </c>
      <c r="C2" s="26"/>
    </row>
    <row r="4" ht="32" customHeight="1" spans="2:3" x14ac:dyDescent="0.25">
      <c r="B4" s="43" t="s">
        <v>135</v>
      </c>
      <c r="C4" s="44" t="s">
        <v>136</v>
      </c>
    </row>
    <row r="6" ht="32" customHeight="1" spans="2:3" x14ac:dyDescent="0.25">
      <c r="B6" s="43" t="s">
        <v>137</v>
      </c>
      <c r="C6" s="44" t="s">
        <v>138</v>
      </c>
    </row>
    <row r="8" ht="32" customHeight="1" spans="2:3" x14ac:dyDescent="0.25">
      <c r="B8" s="43" t="s">
        <v>139</v>
      </c>
      <c r="C8" s="44" t="s">
        <v>140</v>
      </c>
    </row>
    <row r="10" ht="32" customHeight="1" spans="2:3" x14ac:dyDescent="0.25">
      <c r="B10" s="43" t="s">
        <v>141</v>
      </c>
      <c r="C10" s="44" t="s">
        <v>142</v>
      </c>
    </row>
    <row r="12" ht="32" customHeight="1" spans="2:3" x14ac:dyDescent="0.25">
      <c r="B12" s="43" t="s">
        <v>143</v>
      </c>
      <c r="C12" s="44" t="s">
        <v>144</v>
      </c>
    </row>
  </sheetData>
  <mergeCells count="1">
    <mergeCell ref="B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📊 Executive Dashboard</vt:lpstr>
      <vt:lpstr>📅 12-Month Ledger</vt:lpstr>
      <vt:lpstr>🔥 FIRE Engine</vt:lpstr>
      <vt:lpstr>🛡️ Portfolio Health</vt:lpstr>
      <vt:lpstr>💳 Debt Payoff</vt:lpstr>
      <vt:lpstr>🏛️ Fed Benchmarks</vt:lpstr>
      <vt:lpstr>📖 Quick Start 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Jha — GetNetWorthCalculator.com</dc:creator>
  <dc:title/>
  <dc:subject/>
  <dc:description/>
  <cp:keywords/>
  <cp:category/>
  <cp:lastModifiedBy>GetNetWorth Analytics Team</cp:lastModifiedBy>
  <dcterms:created xsi:type="dcterms:W3CDTF">2026-10-22T10:57:58Z</dcterms:created>
  <dcterms:modified xsi:type="dcterms:W3CDTF">2026-10-22T10:57:58Z</dcterms:modified>
</cp:coreProperties>
</file>