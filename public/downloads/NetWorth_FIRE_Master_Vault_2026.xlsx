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🟢 START HERE (60-Sec Guide)" state="visible" r:id="rId4"/>
    <sheet sheetId="2" name="⚡ 2-Min Quick Check-In" state="visible" r:id="rId5"/>
    <sheet sheetId="3" name="📊 Executive Dashboard" state="visible" r:id="rId6"/>
    <sheet sheetId="4" name="💸 Smart Budget (50-30-20)" state="visible" r:id="rId7"/>
    <sheet sheetId="5" name="🎯 Sinking Funds Shield" state="visible" r:id="rId8"/>
    <sheet sheetId="6" name="🔥 FIRE Freedom Engine" state="visible" r:id="rId9"/>
    <sheet sheetId="7" name="💳 Debt Avalanche &amp; Snowball" state="visible" r:id="rId10"/>
    <sheet sheetId="8" name="🏛️ Fed &amp; State Benchmarks" state="visible" r:id="rId11"/>
  </sheets>
  <calcPr calcId="171027"/>
</workbook>
</file>

<file path=xl/sharedStrings.xml><?xml version="1.0" encoding="utf-8"?>
<sst xmlns="http://schemas.openxmlformats.org/spreadsheetml/2006/main" count="307" uniqueCount="281">
  <si>
    <t>🏛️ GETNETWORTHCALCULATOR.COM • OFFICIAL WEALTH &amp; BUDGET OPERATING SYSTEM</t>
  </si>
  <si>
    <t>Modeled by GetNetWorth Analytics | Benchmarked Against US Federal Reserve SCF Microdata (2026)</t>
  </si>
  <si>
    <t>🚀 THE 3-STEP MONTHLY ROUTINE (TAKES 2 MINUTES ON THE 1ST OF EACH MONTH)</t>
  </si>
  <si>
    <t>Step 1: Open Tab 2</t>
  </si>
  <si>
    <t>Click '⚡ 2-Min Quick Check-In'</t>
  </si>
  <si>
    <t>On the 1st of every month, open the second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</si>
  <si>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</si>
  <si>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</si>
  <si>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</si>
  <si>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</si>
  <si>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</si>
  <si>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</si>
  <si>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</si>
  <si>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</si>
  <si>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</si>
  <si>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</si>
  <si>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</si>
  <si>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</si>
  <si>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</si>
  <si>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</si>
  <si>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</si>
  <si>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</si>
  <si>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</si>
  <si>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⚡ 2-Min Quick Check-In</t>
  </si>
  <si>
    <t>For 90% of months: Type 4 numbers once a month in 90 seconds. Zero homework.</t>
  </si>
  <si>
    <t>📊 Executive Dashboard</t>
  </si>
  <si>
    <t>Bloomberg-style visual terminal with Stanley &amp; Danko Wealth Class (PAW/UAW) Engine.</t>
  </si>
  <si>
    <t>💸 Smart Budget (50/30/20)</t>
  </si>
  <si>
    <t>Answers: 'How much can I spend today guilt-free?' (Needs 50%, Wants 30%, Wealth 20%).</t>
  </si>
  <si>
    <t>🎯 Sinking Funds Shield</t>
  </si>
  <si>
    <t>Prevents budget shock from car repairs, holiday travel, and annual insurance renewals.</t>
  </si>
  <si>
    <t>🔥 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</si>
  <si>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</si>
  <si>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</si>
  <si>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</si>
  <si>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&amp; State Benchmarks</t>
  </si>
  <si>
    <t>Official US Federal Reserve SCF microdata + 50 US States Median Wealth Index.</t>
  </si>
  <si>
    <t>🌐 GetNetWorthCalculator.com • 100% Private, Anonymous &amp; Offline • Official 2026 Edition</t>
  </si>
  <si>
    <t>⚡ 2-MINUTE MONTHLY QUICK CHECK-IN • GETNETWORTHCALCULATOR.COM</t>
  </si>
  <si>
    <t>Rule of Thumb: On the 1st of each month, type just 4 numbers (green headers). Net Worth, Liquid Ratio &amp; Deltas compute automatically.</t>
  </si>
  <si>
    <t>Month</t>
  </si>
  <si>
    <t>💵 Cash &amp; Savings</t>
  </si>
  <si>
    <t>📈 Invested Portfolio</t>
  </si>
  <si>
    <t>🏠 Property &amp; Assets</t>
  </si>
  <si>
    <t>💳 Total Debts</t>
  </si>
  <si>
    <t>🏛️ TOTAL NET WORTH</t>
  </si>
  <si>
    <t>MoM Gain ($)</t>
  </si>
  <si>
    <t>MoM Growth (%)</t>
  </si>
  <si>
    <t>💧 LIQUID NET WORTH</t>
  </si>
  <si>
    <t>Liquid Ratio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</si>
  <si>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</si>
  <si>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</si>
  <si>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</si>
  <si>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</si>
  <si>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</si>
  <si>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</si>
  <si>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</si>
  <si>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</si>
  <si>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</si>
  <si>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</si>
  <si>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</si>
  <si>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</si>
  <si>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</si>
  <si>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</si>
  <si>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</si>
  <si>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</si>
  <si>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</si>
  <si>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</si>
  <si>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</si>
  <si>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</si>
  <si>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</si>
  <si>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</si>
  <si>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</si>
  <si>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</si>
  <si>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</si>
  <si>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</si>
  <si>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</si>
  <si>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</si>
  <si>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</si>
  <si>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</si>
  <si>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</si>
  <si>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</si>
  <si>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</si>
  <si>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</si>
  <si>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</si>
  <si>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</si>
  <si>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</si>
  <si>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</si>
  <si>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</si>
  <si>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</si>
  <si>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</si>
  <si>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</si>
  <si>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</si>
  <si>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</si>
  <si>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</si>
  <si>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🏆 STANLEY &amp; DANKO WEALTH ACCUMULATION CLASS (PAW / AAW / UAW ENGINE)</t>
  </si>
  <si>
    <t>Your Age (Green Input)</t>
  </si>
  <si>
    <t>Pre-Tax Income (Green Input)</t>
  </si>
  <si>
    <t>Expected NW (Age×Income/10)</t>
  </si>
  <si>
    <t>Accumulation Multiplier</t>
  </si>
  <si>
    <t>Wealth Class Status</t>
  </si>
  <si>
    <t>🎯 WEALTH ACCELERATION MILESTONES (CHARLIE MUNGER COMPOUNDING CURVE)</t>
  </si>
  <si>
    <t>Milestone Tier</t>
  </si>
  <si>
    <t>Target ($)</t>
  </si>
  <si>
    <t>Progress (%)</t>
  </si>
  <si>
    <t>Remaining Gap ($)</t>
  </si>
  <si>
    <t>Compounding Dynamics &amp; Insights</t>
  </si>
  <si>
    <t>$100,000 (Base Foundation)</t>
  </si>
  <si>
    <t>The hardest milestone — 100% savings driven (Charlie Munger rule)</t>
  </si>
  <si>
    <t>$250,000 (Tipping Point)</t>
  </si>
  <si>
    <t>Compounding returns begin matching your monthly cash savings</t>
  </si>
  <si>
    <t>$500,000 (Half-Million)</t>
  </si>
  <si>
    <t>Investment gains frequently exceed annual take-home salary</t>
  </si>
  <si>
    <t>$1,000,000 (Two-Comma Club)</t>
  </si>
  <si>
    <t>Top 7% of US households — Full Financial Sovereignty</t>
  </si>
  <si>
    <t>💧 LIQUID NET WORTH &amp; EMERGENCY RUNWAY SHIELD • GETNETWORTHCALCULATOR.COM</t>
  </si>
  <si>
    <t>Liquid Assets (Cash+Invested)</t>
  </si>
  <si>
    <t>Monthly Baseline Needs</t>
  </si>
  <si>
    <t>Emergency Runway (Months)</t>
  </si>
  <si>
    <t>Liquid to Total NW Ratio</t>
  </si>
  <si>
    <t>Safe Liquidity Benchmark</t>
  </si>
  <si>
    <t>3-6 Mo for W2 • 12+ Mo for 1099/FIRE</t>
  </si>
  <si>
    <t>🌐 LIVE TOOLS ON GETNETWORTHCALCULATOR.COM: /wealth-class-calculator • /liquid-net-worth-calculator • /state • /coast-fire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</si>
  <si>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</si>
  <si>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</si>
  <si>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</si>
  <si>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</si>
  <si>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</si>
  <si>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</si>
  <si>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</si>
  <si>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</si>
  <si>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</si>
  <si>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</si>
  <si>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</si>
  <si>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</si>
  <si>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</si>
  <si>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</si>
  <si>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</si>
  <si>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</si>
  <si>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</si>
  <si>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</si>
  <si>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</si>
  <si>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</si>
  <si>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</si>
  <si>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</si>
  <si>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</si>
  <si>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</si>
  <si>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</si>
  <si>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</si>
  <si>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</si>
  <si>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</si>
  <si>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</si>
  <si>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</si>
  <si>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</si>
  <si>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</si>
  <si>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</si>
  <si>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</si>
  <si>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</si>
  <si>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</si>
  <si>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</si>
  <si>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</si>
  <si>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</si>
  <si>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</si>
  <si>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</si>
  <si>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</si>
  <si>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</si>
  <si>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</si>
  <si>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</si>
  <si>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</si>
  <si>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</si>
  <si>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</si>
  <si>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</si>
  <si>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</si>
  <si>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</si>
  <si>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</si>
  <si>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</si>
  <si>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</si>
  <si>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</si>
  <si>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</si>
  <si>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</si>
  <si>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</si>
  <si>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</si>
  <si>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</si>
  <si>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</si>
  <si>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</si>
  <si>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</si>
  <si>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</si>
  <si>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</si>
  <si>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</si>
  <si>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</si>
  <si>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</si>
  <si>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</si>
  <si>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</si>
  <si>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</si>
  <si>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</si>
  <si>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</si>
  <si>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</si>
  <si>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</si>
  <si>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</si>
  <si>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</si>
  <si>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</si>
  <si>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</si>
  <si>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</si>
  <si>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</si>
  <si>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</si>
  <si>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</si>
  <si>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</si>
  <si>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</si>
  <si>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</si>
  <si>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</si>
  <si>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</si>
  <si>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</si>
  <si>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</si>
  <si>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</si>
  <si>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</si>
  <si>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</si>
  <si>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</si>
  <si>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</si>
  <si>
    <t>📍 TOP 10 US STATES WEALTH &amp; COST-OF-LIVING INDEX • GETNETWORTHCALCULATOR.COM/STATE</t>
  </si>
  <si>
    <t>US State</t>
  </si>
  <si>
    <t>Median NW</t>
  </si>
  <si>
    <t>Top 10% NW</t>
  </si>
  <si>
    <t>COL Index</t>
  </si>
  <si>
    <t>Median Home</t>
  </si>
  <si>
    <t>Wealth Tier</t>
  </si>
  <si>
    <t>Website State Hub</t>
  </si>
  <si>
    <t>California (CA)</t>
  </si>
  <si>
    <t>138.5 (HCOL)</t>
  </si>
  <si>
    <t>Top Tier</t>
  </si>
  <si>
    <t>getnetworthcalculator.com/state/california</t>
  </si>
  <si>
    <t>New York (NY)</t>
  </si>
  <si>
    <t>134.2 (HCOL)</t>
  </si>
  <si>
    <t>getnetworthcalculator.com/state/new-york</t>
  </si>
  <si>
    <t>Washington (WA)</t>
  </si>
  <si>
    <t>115.1 (MCOL+)</t>
  </si>
  <si>
    <t>getnetworthcalculator.com/state/washington</t>
  </si>
  <si>
    <t>Texas (TX)</t>
  </si>
  <si>
    <t>92.5 (LCOL)</t>
  </si>
  <si>
    <t>High Value</t>
  </si>
  <si>
    <t>getnetworthcalculator.com/state/texas</t>
  </si>
  <si>
    <t>Florida (FL)</t>
  </si>
  <si>
    <t>102.8 (Avg)</t>
  </si>
  <si>
    <t>Growing</t>
  </si>
  <si>
    <t>getnetworthcalculator.com/state/florida</t>
  </si>
  <si>
    <t>Massachusetts (MA)</t>
  </si>
  <si>
    <t>148.0 (HCOL)</t>
  </si>
  <si>
    <t>getnetworthcalculator.com/state/massachusetts</t>
  </si>
  <si>
    <t>Illinois (IL)</t>
  </si>
  <si>
    <t>91.8 (LCOL)</t>
  </si>
  <si>
    <t>getnetworthcalculator.com/state/illinois</t>
  </si>
  <si>
    <t>Colorado (CO)</t>
  </si>
  <si>
    <t>105.4 (Avg)</t>
  </si>
  <si>
    <t>High Growth</t>
  </si>
  <si>
    <t>getnetworthcalculator.com/state/colorado</t>
  </si>
  <si>
    <t>📊 FIDELITY RETIREMENT SAVINGS BENCHMARKS BY AGE • GETNETWORTHCALCULATOR.COM</t>
  </si>
  <si>
    <t>Age Milestone</t>
  </si>
  <si>
    <t>Salary Multiplier</t>
  </si>
  <si>
    <t>Target ($100k Sal)</t>
  </si>
  <si>
    <t>Target ($150k Sal)</t>
  </si>
  <si>
    <t>Fidelity Rule of Thumb</t>
  </si>
  <si>
    <t>Online Calculator Tool</t>
  </si>
  <si>
    <t>Website Hub</t>
  </si>
  <si>
    <t>Age 30</t>
  </si>
  <si>
    <t>Have 1x annual salary saved in invested portfolio</t>
  </si>
  <si>
    <t>savings-multiplier-by-age</t>
  </si>
  <si>
    <t>getnetworthcalculator.com</t>
  </si>
  <si>
    <t>Age 35</t>
  </si>
  <si>
    <t>Have 2x annual salary saved (tipping point)</t>
  </si>
  <si>
    <t>Age 40</t>
  </si>
  <si>
    <t>Have 3x annual salary saved</t>
  </si>
  <si>
    <t>Age 45</t>
  </si>
  <si>
    <t>Have 4x annual salary saved</t>
  </si>
  <si>
    <t>Age 50</t>
  </si>
  <si>
    <t>Have 6x annual salary saved</t>
  </si>
  <si>
    <t>Age 55</t>
  </si>
  <si>
    <t>Have 7x annual salary saved</t>
  </si>
  <si>
    <t>Age 60</t>
  </si>
  <si>
    <t>Have 8x annual salary saved</t>
  </si>
  <si>
    <t>Age 67</t>
  </si>
  <si>
    <t>Full retirement baseline target (10x income)</t>
  </si>
  <si>
    <t>🌐 Explore live interactive tools: getnetworthcalculator.com/savings-multiplier-by-age • /wealth-class-calculator • 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</si>
</sst>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$#,##0"/>
    <numFmt numFmtId="165" formatCode="+$#,##0;-$#,##0;$0"/>
    <numFmt numFmtId="166" formatCode="+0.0%;-0.0%;0.0%"/>
    <numFmt numFmtId="167" formatCode="0.0%"/>
    <numFmt numFmtId="168" formatCode="0.00&quot;x&quot;"/>
    <numFmt numFmtId="169" formatCode="0.0&quot; Months&quot;"/>
    <numFmt numFmtId="170" formatCode="$#,##0/day"/>
    <numFmt numFmtId="171" formatCode="0.0&quot;x&quot;"/>
  </numFmts>
  <fonts count="35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9.5"/>
      <name val="Arial"/>
    </font>
    <font>
      <b/>
      <sz val="10"/>
      <name val="Arial"/>
    </font>
    <font>
      <b/>
      <color rgb="FF065F46"/>
      <sz val="10"/>
      <name val="Arial"/>
    </font>
    <font>
      <b/>
      <color rgb="FF10B981"/>
      <sz val="10"/>
      <name val="Arial"/>
    </font>
    <font>
      <b/>
      <color rgb="FFFFFFFF"/>
    </font>
    <font>
      <i/>
      <color rgb="FF94A3B8"/>
      <sz val="9"/>
      <name val="Arial"/>
    </font>
    <font>
      <b/>
      <color rgb="FF94A3B8"/>
      <sz val="9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11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0.5"/>
    </font>
    <font>
      <b/>
      <color rgb="FFFFFFFF"/>
      <sz val="12"/>
    </font>
    <font>
      <b/>
      <color rgb="FF10B981"/>
      <sz val="12"/>
    </font>
    <font>
      <color rgb="FF475569"/>
      <sz val="8.5"/>
    </font>
    <font>
      <b/>
      <color rgb="FFF59E0B"/>
      <sz val="9"/>
    </font>
    <font>
      <b/>
      <i/>
      <color rgb="FF10B981"/>
      <sz val="9"/>
    </font>
    <font>
      <b/>
      <color rgb="FFFFFFFF"/>
      <sz val="15"/>
    </font>
    <font>
      <b/>
      <color rgb="FFFFFFFF"/>
      <sz val="11"/>
      <name val="Arial"/>
    </font>
    <font>
      <i/>
      <color rgb="FF64748B"/>
      <sz val="9"/>
    </font>
    <font>
      <b/>
      <color rgb="FFFFFFFF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164" fontId="0" fillId="0" borderId="1" xfId="0" applyNumberFormat="1" applyBorder="1"/>
    <xf numFmtId="164" fontId="11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164" fontId="12" fillId="0" borderId="1" xfId="0" applyNumberFormat="1" applyFont="1" applyBorder="1"/>
    <xf numFmtId="167" fontId="0" fillId="0" borderId="1" xfId="0" applyNumberFormat="1" applyBorder="1"/>
    <xf numFmtId="0" fontId="10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167" fontId="0" fillId="6" borderId="1" xfId="0" applyNumberFormat="1" applyFill="1" applyBorder="1"/>
    <xf numFmtId="0" fontId="13" fillId="3" borderId="1" xfId="0" applyFont="1" applyFill="1" applyBorder="1"/>
    <xf numFmtId="164" fontId="13" fillId="3" borderId="1" xfId="0" applyNumberFormat="1" applyFont="1" applyFill="1" applyBorder="1"/>
    <xf numFmtId="166" fontId="13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5" fillId="4" borderId="0" xfId="0" applyFont="1" applyFill="1"/>
    <xf numFmtId="164" fontId="16" fillId="4" borderId="0" xfId="0" applyNumberFormat="1" applyFont="1" applyFill="1" applyAlignment="1">
      <alignment vertical="center"/>
    </xf>
    <xf numFmtId="164" fontId="17" fillId="4" borderId="0" xfId="0" applyNumberFormat="1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9" fillId="4" borderId="0" xfId="0" applyFont="1" applyFill="1"/>
    <xf numFmtId="0" fontId="20" fillId="4" borderId="0" xfId="0" applyFont="1" applyFill="1"/>
    <xf numFmtId="0" fontId="21" fillId="3" borderId="0" xfId="0" applyFont="1" applyFill="1"/>
    <xf numFmtId="0" fontId="22" fillId="4" borderId="1" xfId="0" applyFont="1" applyFill="1" applyBorder="1"/>
    <xf numFmtId="0" fontId="0" fillId="6" borderId="1" xfId="0" applyFill="1" applyBorder="1"/>
    <xf numFmtId="0" fontId="23" fillId="4" borderId="0" xfId="0" applyFont="1" applyFill="1"/>
    <xf numFmtId="0" fontId="24" fillId="4" borderId="0" xfId="0" applyFont="1" applyFill="1"/>
    <xf numFmtId="0" fontId="25" fillId="2" borderId="0" xfId="0" applyFont="1" applyFill="1"/>
    <xf numFmtId="0" fontId="23" fillId="4" borderId="1" xfId="0" applyFont="1" applyFill="1" applyBorder="1"/>
    <xf numFmtId="0" fontId="26" fillId="2" borderId="1" xfId="0" applyFont="1" applyFill="1" applyBorder="1" applyAlignment="1">
      <alignment horizontal="center" vertical="center"/>
    </xf>
    <xf numFmtId="164" fontId="26" fillId="2" borderId="1" xfId="0" applyNumberFormat="1" applyFont="1" applyFill="1" applyBorder="1" applyAlignment="1">
      <alignment horizontal="center" vertical="center"/>
    </xf>
    <xf numFmtId="164" fontId="26" fillId="4" borderId="1" xfId="0" applyNumberFormat="1" applyFont="1" applyFill="1" applyBorder="1" applyAlignment="1">
      <alignment horizontal="center" vertical="center"/>
    </xf>
    <xf numFmtId="168" fontId="27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5" fillId="3" borderId="0" xfId="0" applyFont="1" applyFill="1"/>
    <xf numFmtId="164" fontId="6" fillId="0" borderId="1" xfId="0" applyNumberFormat="1" applyFont="1" applyBorder="1"/>
    <xf numFmtId="167" fontId="19" fillId="0" borderId="1" xfId="0" applyNumberFormat="1" applyFont="1" applyBorder="1"/>
    <xf numFmtId="0" fontId="28" fillId="0" borderId="1" xfId="0" applyFont="1" applyBorder="1"/>
    <xf numFmtId="0" fontId="6" fillId="6" borderId="1" xfId="0" applyFont="1" applyFill="1" applyBorder="1"/>
    <xf numFmtId="164" fontId="6" fillId="6" borderId="1" xfId="0" applyNumberFormat="1" applyFont="1" applyFill="1" applyBorder="1"/>
    <xf numFmtId="167" fontId="19" fillId="6" borderId="1" xfId="0" applyNumberFormat="1" applyFont="1" applyFill="1" applyBorder="1"/>
    <xf numFmtId="0" fontId="28" fillId="6" borderId="1" xfId="0" applyFont="1" applyFill="1" applyBorder="1"/>
    <xf numFmtId="164" fontId="26" fillId="4" borderId="1" xfId="0" applyNumberFormat="1" applyFont="1" applyFill="1" applyBorder="1"/>
    <xf numFmtId="169" fontId="27" fillId="4" borderId="1" xfId="0" applyNumberFormat="1" applyFont="1" applyFill="1" applyBorder="1"/>
    <xf numFmtId="167" fontId="26" fillId="4" borderId="1" xfId="0" applyNumberFormat="1" applyFont="1" applyFill="1" applyBorder="1"/>
    <xf numFmtId="0" fontId="29" fillId="4" borderId="1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 vertical="center"/>
    </xf>
    <xf numFmtId="164" fontId="17" fillId="4" borderId="0" xfId="0" applyNumberFormat="1" applyFont="1" applyFill="1"/>
    <xf numFmtId="170" fontId="31" fillId="4" borderId="0" xfId="0" applyNumberFormat="1" applyFont="1" applyFill="1"/>
    <xf numFmtId="0" fontId="22" fillId="3" borderId="1" xfId="0" applyFont="1" applyFill="1" applyBorder="1"/>
    <xf numFmtId="0" fontId="3" fillId="2" borderId="0" xfId="0" applyFont="1" applyFill="1"/>
    <xf numFmtId="0" fontId="13" fillId="4" borderId="1" xfId="0" applyFont="1" applyFill="1" applyBorder="1"/>
    <xf numFmtId="164" fontId="13" fillId="4" borderId="1" xfId="0" applyNumberFormat="1" applyFont="1" applyFill="1" applyBorder="1"/>
    <xf numFmtId="0" fontId="3" fillId="7" borderId="0" xfId="0" applyFont="1" applyFill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3" fillId="8" borderId="0" xfId="0" applyFont="1" applyFill="1"/>
    <xf numFmtId="0" fontId="13" fillId="8" borderId="1" xfId="0" applyFont="1" applyFill="1" applyBorder="1"/>
    <xf numFmtId="164" fontId="13" fillId="8" borderId="1" xfId="0" applyNumberFormat="1" applyFont="1" applyFill="1" applyBorder="1"/>
    <xf numFmtId="0" fontId="13" fillId="2" borderId="1" xfId="0" applyFont="1" applyFill="1" applyBorder="1"/>
    <xf numFmtId="164" fontId="13" fillId="2" borderId="1" xfId="0" applyNumberFormat="1" applyFont="1" applyFill="1" applyBorder="1"/>
    <xf numFmtId="167" fontId="13" fillId="3" borderId="1" xfId="0" applyNumberFormat="1" applyFont="1" applyFill="1" applyBorder="1"/>
    <xf numFmtId="0" fontId="32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33" fillId="0" borderId="1" xfId="0" applyFont="1" applyBorder="1"/>
    <xf numFmtId="10" fontId="0" fillId="0" borderId="1" xfId="0" applyNumberFormat="1" applyBorder="1"/>
    <xf numFmtId="10" fontId="13" fillId="4" borderId="1" xfId="0" applyNumberFormat="1" applyFont="1" applyFill="1" applyBorder="1"/>
    <xf numFmtId="0" fontId="34" fillId="2" borderId="0" xfId="0" applyFont="1" applyFill="1"/>
    <xf numFmtId="0" fontId="34" fillId="3" borderId="0" xfId="0" applyFont="1" applyFill="1"/>
    <xf numFmtId="171" fontId="0" fillId="0" borderId="1" xfId="0" applyNumberFormat="1" applyBorder="1"/>
    <xf numFmtId="171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4" ht="26" customHeight="1" spans="2:4" x14ac:dyDescent="0.25">
      <c r="B24" s="10" t="s">
        <v>37</v>
      </c>
      <c r="C24" s="10"/>
      <c r="D24" s="10"/>
    </row>
  </sheetData>
  <mergeCells count="13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20" customWidth="1"/>
    <col min="11" max="11" width="16" customWidth="1"/>
    <col min="12" max="12" width="4" customWidth="1"/>
  </cols>
  <sheetData>
    <row r="2" ht="28" customHeight="1" spans="2:11" x14ac:dyDescent="0.25">
      <c r="B2" s="1" t="s">
        <v>38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11" t="s">
        <v>39</v>
      </c>
      <c r="C3" s="11"/>
      <c r="D3" s="11"/>
      <c r="E3" s="11"/>
      <c r="F3" s="11"/>
      <c r="G3" s="11"/>
      <c r="H3" s="11"/>
      <c r="I3" s="11"/>
      <c r="J3" s="11"/>
      <c r="K3" s="11"/>
    </row>
    <row r="5" ht="24" customHeight="1" spans="2:11" x14ac:dyDescent="0.25">
      <c r="B5" s="12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</row>
    <row r="6" ht="20" customHeight="1" spans="2:11" x14ac:dyDescent="0.25">
      <c r="B6" s="14" t="s">
        <v>50</v>
      </c>
      <c r="C6" s="15">
        <v>25000</v>
      </c>
      <c r="D6" s="15">
        <v>185000</v>
      </c>
      <c r="E6" s="15">
        <v>350000</v>
      </c>
      <c r="F6" s="15">
        <v>245000</v>
      </c>
      <c r="G6" s="16">
        <f>=(C6+D6+E6)-F6</f>
      </c>
      <c r="H6" s="17">
        <v>0</v>
      </c>
      <c r="I6" s="18">
        <v>0</v>
      </c>
      <c r="J6" s="19">
        <f>=C6+D6</f>
      </c>
      <c r="K6" s="20">
        <f>=(C6+D6)/G6</f>
      </c>
    </row>
    <row r="7" ht="20" customHeight="1" spans="2:11" x14ac:dyDescent="0.25">
      <c r="B7" s="21" t="s">
        <v>51</v>
      </c>
      <c r="C7" s="22">
        <v>26200</v>
      </c>
      <c r="D7" s="22">
        <v>189500</v>
      </c>
      <c r="E7" s="22">
        <v>350000</v>
      </c>
      <c r="F7" s="22">
        <v>243800</v>
      </c>
      <c r="G7" s="16">
        <f>=(C7+D7+E7)-F7</f>
      </c>
      <c r="H7" s="23">
        <f>=G7-G6</f>
      </c>
      <c r="I7" s="24">
        <f>=(G7-G6)/G6</f>
      </c>
      <c r="J7" s="19">
        <f>=C7+D7</f>
      </c>
      <c r="K7" s="25">
        <f>=(C7+D7)/G7</f>
      </c>
    </row>
    <row r="8" ht="20" customHeight="1" spans="2:11" x14ac:dyDescent="0.25">
      <c r="B8" s="14" t="s">
        <v>52</v>
      </c>
      <c r="C8" s="15">
        <v>25800</v>
      </c>
      <c r="D8" s="15">
        <v>194200</v>
      </c>
      <c r="E8" s="15">
        <v>350000</v>
      </c>
      <c r="F8" s="15">
        <v>242600</v>
      </c>
      <c r="G8" s="16">
        <f>=(C8+D8+E8)-F8</f>
      </c>
      <c r="H8" s="17">
        <f>=G8-G7</f>
      </c>
      <c r="I8" s="18">
        <f>=(G8-G7)/G7</f>
      </c>
      <c r="J8" s="19">
        <f>=C8+D8</f>
      </c>
      <c r="K8" s="20">
        <f>=(C8+D8)/G8</f>
      </c>
    </row>
    <row r="9" ht="20" customHeight="1" spans="2:11" x14ac:dyDescent="0.25">
      <c r="B9" s="21" t="s">
        <v>53</v>
      </c>
      <c r="C9" s="22">
        <v>27100</v>
      </c>
      <c r="D9" s="22">
        <v>191000</v>
      </c>
      <c r="E9" s="22">
        <v>350000</v>
      </c>
      <c r="F9" s="22">
        <v>241400</v>
      </c>
      <c r="G9" s="16">
        <f>=(C9+D9+E9)-F9</f>
      </c>
      <c r="H9" s="23">
        <f>=G9-G8</f>
      </c>
      <c r="I9" s="24">
        <f>=(G9-G8)/G8</f>
      </c>
      <c r="J9" s="19">
        <f>=C9+D9</f>
      </c>
      <c r="K9" s="25">
        <f>=(C9+D9)/G9</f>
      </c>
    </row>
    <row r="10" ht="20" customHeight="1" spans="2:11" x14ac:dyDescent="0.25">
      <c r="B10" s="14" t="s">
        <v>54</v>
      </c>
      <c r="C10" s="15">
        <v>26900</v>
      </c>
      <c r="D10" s="15">
        <v>198500</v>
      </c>
      <c r="E10" s="15">
        <v>352000</v>
      </c>
      <c r="F10" s="15">
        <v>240100</v>
      </c>
      <c r="G10" s="16">
        <f>=(C10+D10+E10)-F10</f>
      </c>
      <c r="H10" s="17">
        <f>=G10-G9</f>
      </c>
      <c r="I10" s="18">
        <f>=(G10-G9)/G9</f>
      </c>
      <c r="J10" s="19">
        <f>=C10+D10</f>
      </c>
      <c r="K10" s="20">
        <f>=(C10+D10)/G10</f>
      </c>
    </row>
    <row r="11" ht="20" customHeight="1" spans="2:11" x14ac:dyDescent="0.25">
      <c r="B11" s="21" t="s">
        <v>55</v>
      </c>
      <c r="C11" s="22">
        <v>28400</v>
      </c>
      <c r="D11" s="22">
        <v>204000</v>
      </c>
      <c r="E11" s="22">
        <v>352000</v>
      </c>
      <c r="F11" s="22">
        <v>238800</v>
      </c>
      <c r="G11" s="16">
        <f>=(C11+D11+E11)-F11</f>
      </c>
      <c r="H11" s="23">
        <f>=G11-G10</f>
      </c>
      <c r="I11" s="24">
        <f>=(G11-G10)/G10</f>
      </c>
      <c r="J11" s="19">
        <f>=C11+D11</f>
      </c>
      <c r="K11" s="25">
        <f>=(C11+D11)/G11</f>
      </c>
    </row>
    <row r="12" ht="20" customHeight="1" spans="2:11" x14ac:dyDescent="0.25">
      <c r="B12" s="14" t="s">
        <v>56</v>
      </c>
      <c r="C12" s="15">
        <v>29000</v>
      </c>
      <c r="D12" s="15">
        <v>209500</v>
      </c>
      <c r="E12" s="15">
        <v>352000</v>
      </c>
      <c r="F12" s="15">
        <v>237500</v>
      </c>
      <c r="G12" s="16">
        <f>=(C12+D12+E12)-F12</f>
      </c>
      <c r="H12" s="17">
        <f>=G12-G11</f>
      </c>
      <c r="I12" s="18">
        <f>=(G12-G11)/G11</f>
      </c>
      <c r="J12" s="19">
        <f>=C12+D12</f>
      </c>
      <c r="K12" s="20">
        <f>=(C12+D12)/G12</f>
      </c>
    </row>
    <row r="13" ht="20" customHeight="1" spans="2:11" x14ac:dyDescent="0.25">
      <c r="B13" s="21" t="s">
        <v>57</v>
      </c>
      <c r="C13" s="22">
        <v>28500</v>
      </c>
      <c r="D13" s="22">
        <v>215000</v>
      </c>
      <c r="E13" s="22">
        <v>355000</v>
      </c>
      <c r="F13" s="22">
        <v>236100</v>
      </c>
      <c r="G13" s="16">
        <f>=(C13+D13+E13)-F13</f>
      </c>
      <c r="H13" s="23">
        <f>=G13-G12</f>
      </c>
      <c r="I13" s="24">
        <f>=(G13-G12)/G12</f>
      </c>
      <c r="J13" s="19">
        <f>=C13+D13</f>
      </c>
      <c r="K13" s="25">
        <f>=(C13+D13)/G13</f>
      </c>
    </row>
    <row r="14" ht="20" customHeight="1" spans="2:11" x14ac:dyDescent="0.25">
      <c r="B14" s="14" t="s">
        <v>58</v>
      </c>
      <c r="C14" s="15">
        <v>30200</v>
      </c>
      <c r="D14" s="15">
        <v>221000</v>
      </c>
      <c r="E14" s="15">
        <v>355000</v>
      </c>
      <c r="F14" s="15">
        <v>234700</v>
      </c>
      <c r="G14" s="16">
        <f>=(C14+D14+E14)-F14</f>
      </c>
      <c r="H14" s="17">
        <f>=G14-G13</f>
      </c>
      <c r="I14" s="18">
        <f>=(G14-G13)/G13</f>
      </c>
      <c r="J14" s="19">
        <f>=C14+D14</f>
      </c>
      <c r="K14" s="20">
        <f>=(C14+D14)/G14</f>
      </c>
    </row>
    <row r="15" ht="20" customHeight="1" spans="2:11" x14ac:dyDescent="0.25">
      <c r="B15" s="21" t="s">
        <v>59</v>
      </c>
      <c r="C15" s="22">
        <v>31000</v>
      </c>
      <c r="D15" s="22">
        <v>228000</v>
      </c>
      <c r="E15" s="22">
        <v>355000</v>
      </c>
      <c r="F15" s="22">
        <v>233200</v>
      </c>
      <c r="G15" s="16">
        <f>=(C15+D15+E15)-F15</f>
      </c>
      <c r="H15" s="23">
        <f>=G15-G14</f>
      </c>
      <c r="I15" s="24">
        <f>=(G15-G14)/G14</f>
      </c>
      <c r="J15" s="19">
        <f>=C15+D15</f>
      </c>
      <c r="K15" s="25">
        <f>=(C15+D15)/G15</f>
      </c>
    </row>
    <row r="16" ht="20" customHeight="1" spans="2:11" x14ac:dyDescent="0.25">
      <c r="B16" s="14" t="s">
        <v>60</v>
      </c>
      <c r="C16" s="15">
        <v>31500</v>
      </c>
      <c r="D16" s="15">
        <v>234500</v>
      </c>
      <c r="E16" s="15">
        <v>358000</v>
      </c>
      <c r="F16" s="15">
        <v>231700</v>
      </c>
      <c r="G16" s="16">
        <f>=(C16+D16+E16)-F16</f>
      </c>
      <c r="H16" s="17">
        <f>=G16-G15</f>
      </c>
      <c r="I16" s="18">
        <f>=(G16-G15)/G15</f>
      </c>
      <c r="J16" s="19">
        <f>=C16+D16</f>
      </c>
      <c r="K16" s="20">
        <f>=(C16+D16)/G16</f>
      </c>
    </row>
    <row r="17" ht="20" customHeight="1" spans="2:11" x14ac:dyDescent="0.25">
      <c r="B17" s="21" t="s">
        <v>61</v>
      </c>
      <c r="C17" s="22">
        <v>33000</v>
      </c>
      <c r="D17" s="22">
        <v>242000</v>
      </c>
      <c r="E17" s="22">
        <v>358000</v>
      </c>
      <c r="F17" s="22">
        <v>230100</v>
      </c>
      <c r="G17" s="16">
        <f>=(C17+D17+E17)-F17</f>
      </c>
      <c r="H17" s="23">
        <f>=G17-G16</f>
      </c>
      <c r="I17" s="24">
        <f>=(G17-G16)/G16</f>
      </c>
      <c r="J17" s="19">
        <f>=C17+D17</f>
      </c>
      <c r="K17" s="25">
        <f>=(C17+D17)/G17</f>
      </c>
    </row>
    <row r="18" ht="22" customHeight="1" spans="2:11" x14ac:dyDescent="0.25">
      <c r="B18" s="26" t="s">
        <v>62</v>
      </c>
      <c r="C18" s="27">
        <f>=C17</f>
      </c>
      <c r="D18" s="27">
        <f>=D17</f>
      </c>
      <c r="E18" s="27">
        <f>=E17</f>
      </c>
      <c r="F18" s="27">
        <f>=F17</f>
      </c>
      <c r="G18" s="27">
        <f>=G17</f>
      </c>
      <c r="H18" s="27">
        <f>=G17-G6</f>
      </c>
      <c r="I18" s="28">
        <f>=(G17-G6)/G6</f>
      </c>
      <c r="J18" s="27">
        <f>=C17+D17</f>
      </c>
      <c r="K18" s="28">
        <f>=(C17+D17)/G17</f>
      </c>
    </row>
  </sheetData>
  <mergeCells count="2">
    <mergeCell ref="B2:K2"/>
    <mergeCell ref="B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7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29" t="s">
        <v>63</v>
      </c>
      <c r="C2" s="29"/>
      <c r="D2" s="29"/>
      <c r="E2" s="29"/>
      <c r="F2" s="29"/>
    </row>
    <row r="3" ht="18" customHeight="1" spans="2:6" x14ac:dyDescent="0.25">
      <c r="B3" s="30" t="s">
        <v>64</v>
      </c>
      <c r="C3" s="30"/>
      <c r="D3" s="30"/>
      <c r="E3" s="30"/>
      <c r="F3" s="30"/>
    </row>
    <row r="5" ht="18" customHeight="1" spans="2:6" x14ac:dyDescent="0.25">
      <c r="B5" s="31" t="s">
        <v>65</v>
      </c>
      <c r="C5" s="31"/>
      <c r="D5" s="31" t="s">
        <v>66</v>
      </c>
      <c r="E5" s="31"/>
      <c r="F5" s="31" t="s">
        <v>67</v>
      </c>
    </row>
    <row r="6" ht="28" customHeight="1" spans="2:6" x14ac:dyDescent="0.25">
      <c r="B6" s="32">
        <f>='⚡ 2-Min Quick Check-In'!G18</f>
      </c>
      <c r="C6" s="32"/>
      <c r="D6" s="33">
        <f>='⚡ 2-Min Quick Check-In'!C18+'⚡ 2-Min Quick Check-In'!D18</f>
      </c>
      <c r="E6" s="33"/>
      <c r="F6" s="34" t="s">
        <v>68</v>
      </c>
    </row>
    <row r="7" ht="16" customHeight="1" spans="2:6" x14ac:dyDescent="0.25">
      <c r="B7" s="35">
        <f>="▲ Annual Growth: " &amp; TEXT('⚡ 2-Min Quick Check-In'!I18, "+0.0%") &amp; " (+$" &amp; TEXT('⚡ 2-Min Quick Check-In'!H18, "#,##0") &amp; ")"</f>
      </c>
      <c r="C7" s="35"/>
      <c r="D7" s="36">
        <f>="Liquid Ratio: " &amp; TEXT(('⚡ 2-Min Quick Check-In'!C18+'⚡ 2-Min Quick Check-In'!D18)/('⚡ 2-Min Quick Check-In'!G18+'⚡ 2-Min Quick Check-In'!F18), "0.0%") &amp; " of total assets"</f>
      </c>
      <c r="E7" s="36"/>
      <c r="F7" s="36" t="s">
        <v>69</v>
      </c>
    </row>
    <row r="9" ht="24" customHeight="1" spans="2:6" x14ac:dyDescent="0.25">
      <c r="B9" s="37" t="s">
        <v>70</v>
      </c>
      <c r="C9" s="37"/>
      <c r="D9" s="37"/>
      <c r="E9" s="37"/>
      <c r="F9" s="37"/>
    </row>
    <row r="10" ht="20" customHeight="1" spans="2:6" x14ac:dyDescent="0.25">
      <c r="B10" s="38" t="s">
        <v>71</v>
      </c>
      <c r="C10" s="38" t="s">
        <v>72</v>
      </c>
      <c r="D10" s="38" t="s">
        <v>73</v>
      </c>
      <c r="E10" s="38" t="s">
        <v>74</v>
      </c>
      <c r="F10" s="38" t="s">
        <v>75</v>
      </c>
    </row>
    <row r="11" ht="20" customHeight="1" spans="2:6" x14ac:dyDescent="0.25">
      <c r="B11" s="6" t="s">
        <v>76</v>
      </c>
      <c r="C11" s="15">
        <f>='⚡ 2-Min Quick Check-In'!G6</f>
      </c>
      <c r="D11" s="15">
        <f>='⚡ 2-Min Quick Check-In'!D6</f>
      </c>
      <c r="E11" s="15">
        <f>='⚡ 2-Min Quick Check-In'!F6</f>
      </c>
      <c r="F11" s="6" t="s">
        <v>77</v>
      </c>
    </row>
    <row r="12" ht="20" customHeight="1" spans="2:6" x14ac:dyDescent="0.25">
      <c r="B12" s="39" t="s">
        <v>78</v>
      </c>
      <c r="C12" s="22">
        <f>='⚡ 2-Min Quick Check-In'!G9</f>
      </c>
      <c r="D12" s="22">
        <f>='⚡ 2-Min Quick Check-In'!D9</f>
      </c>
      <c r="E12" s="22">
        <f>='⚡ 2-Min Quick Check-In'!F9</f>
      </c>
      <c r="F12" s="39" t="s">
        <v>79</v>
      </c>
    </row>
    <row r="13" ht="20" customHeight="1" spans="2:6" x14ac:dyDescent="0.25">
      <c r="B13" s="6" t="s">
        <v>80</v>
      </c>
      <c r="C13" s="15">
        <f>='⚡ 2-Min Quick Check-In'!G12</f>
      </c>
      <c r="D13" s="15">
        <f>='⚡ 2-Min Quick Check-In'!D12</f>
      </c>
      <c r="E13" s="15">
        <f>='⚡ 2-Min Quick Check-In'!F12</f>
      </c>
      <c r="F13" s="6" t="s">
        <v>81</v>
      </c>
    </row>
    <row r="14" ht="20" customHeight="1" spans="2:6" x14ac:dyDescent="0.25">
      <c r="B14" s="39" t="s">
        <v>82</v>
      </c>
      <c r="C14" s="22">
        <f>='⚡ 2-Min Quick Check-In'!G15</f>
      </c>
      <c r="D14" s="22">
        <f>='⚡ 2-Min Quick Check-In'!D15</f>
      </c>
      <c r="E14" s="22">
        <f>='⚡ 2-Min Quick Check-In'!F15</f>
      </c>
      <c r="F14" s="39" t="s">
        <v>83</v>
      </c>
    </row>
    <row r="15" ht="20" customHeight="1" spans="2:6" x14ac:dyDescent="0.25">
      <c r="B15" s="6" t="s">
        <v>84</v>
      </c>
      <c r="C15" s="15">
        <f>='⚡ 2-Min Quick Check-In'!G17</f>
      </c>
      <c r="D15" s="15">
        <f>='⚡ 2-Min Quick Check-In'!D17</f>
      </c>
      <c r="E15" s="15">
        <f>='⚡ 2-Min Quick Check-In'!F17</f>
      </c>
      <c r="F15" s="6" t="s">
        <v>85</v>
      </c>
    </row>
    <row r="18" ht="24" customHeight="1" spans="2:6" x14ac:dyDescent="0.25">
      <c r="B18" s="37" t="s">
        <v>86</v>
      </c>
      <c r="C18" s="37"/>
      <c r="D18" s="37"/>
      <c r="E18" s="37"/>
      <c r="F18" s="37"/>
    </row>
    <row r="19" ht="20" customHeight="1" spans="2:6" x14ac:dyDescent="0.25">
      <c r="B19" s="40" t="s">
        <v>87</v>
      </c>
      <c r="C19" s="40" t="s">
        <v>88</v>
      </c>
      <c r="D19" s="40" t="s">
        <v>89</v>
      </c>
      <c r="E19" s="40" t="s">
        <v>90</v>
      </c>
      <c r="F19" s="40"/>
    </row>
    <row r="20" ht="24" customHeight="1" spans="2:6" x14ac:dyDescent="0.25">
      <c r="B20" s="41" t="s">
        <v>91</v>
      </c>
      <c r="C20" s="41" t="s">
        <v>92</v>
      </c>
      <c r="D20" s="41" t="s">
        <v>93</v>
      </c>
      <c r="E20" s="41" t="s">
        <v>94</v>
      </c>
      <c r="F20" s="41"/>
    </row>
    <row r="22" ht="24" customHeight="1" spans="2:6" x14ac:dyDescent="0.25">
      <c r="B22" s="42" t="s">
        <v>95</v>
      </c>
      <c r="C22" s="42"/>
      <c r="D22" s="42"/>
      <c r="E22" s="42"/>
      <c r="F22" s="42"/>
    </row>
    <row r="23" ht="18" customHeight="1" spans="2:6" x14ac:dyDescent="0.25">
      <c r="B23" s="43" t="s">
        <v>96</v>
      </c>
      <c r="C23" s="43" t="s">
        <v>97</v>
      </c>
      <c r="D23" s="43" t="s">
        <v>98</v>
      </c>
      <c r="E23" s="43" t="s">
        <v>99</v>
      </c>
      <c r="F23" s="43" t="s">
        <v>100</v>
      </c>
    </row>
    <row r="24" ht="24" customHeight="1" spans="2:6" x14ac:dyDescent="0.25">
      <c r="B24" s="44">
        <v>32</v>
      </c>
      <c r="C24" s="45">
        <v>108000</v>
      </c>
      <c r="D24" s="46">
        <f>=(B24*C24)/10</f>
      </c>
      <c r="E24" s="47">
        <f>='⚡ 2-Min Quick Check-In'!G18/D24</f>
      </c>
      <c r="F24" s="48">
        <f>=IF('⚡ 2-Min Quick Check-In'!G18&gt;=2*D24, "🏆 PAW (Top 10% Accumulator)", IF('⚡ 2-Min Quick Check-In'!G18&gt;=D24, "⚡ AAW (Solid Average)", "⚠️ UAW (Under Accumulator)"))</f>
      </c>
    </row>
    <row r="26" ht="24" customHeight="1" spans="2:6" x14ac:dyDescent="0.25">
      <c r="B26" s="49" t="s">
        <v>101</v>
      </c>
      <c r="C26" s="49"/>
      <c r="D26" s="49"/>
      <c r="E26" s="49"/>
      <c r="F26" s="49"/>
    </row>
    <row r="27" ht="18" customHeight="1" spans="2:6" x14ac:dyDescent="0.25">
      <c r="B27" s="43" t="s">
        <v>102</v>
      </c>
      <c r="C27" s="43" t="s">
        <v>103</v>
      </c>
      <c r="D27" s="43" t="s">
        <v>104</v>
      </c>
      <c r="E27" s="43" t="s">
        <v>105</v>
      </c>
      <c r="F27" s="43" t="s">
        <v>106</v>
      </c>
    </row>
    <row r="28" ht="19" customHeight="1" spans="2:6" x14ac:dyDescent="0.25">
      <c r="B28" s="8" t="s">
        <v>107</v>
      </c>
      <c r="C28" s="50">
        <v>100000</v>
      </c>
      <c r="D28" s="51">
        <f>=MIN(1, '⚡ 2-Min Quick Check-In'!G18/C28)</f>
      </c>
      <c r="E28" s="50">
        <f>=MAX(0, C28-'⚡ 2-Min Quick Check-In'!G18)</f>
      </c>
      <c r="F28" s="52" t="s">
        <v>108</v>
      </c>
    </row>
    <row r="29" ht="19" customHeight="1" spans="2:6" x14ac:dyDescent="0.25">
      <c r="B29" s="53" t="s">
        <v>109</v>
      </c>
      <c r="C29" s="54">
        <v>250000</v>
      </c>
      <c r="D29" s="55">
        <f>=MIN(1, '⚡ 2-Min Quick Check-In'!G18/C29)</f>
      </c>
      <c r="E29" s="54">
        <f>=MAX(0, C29-'⚡ 2-Min Quick Check-In'!G18)</f>
      </c>
      <c r="F29" s="56" t="s">
        <v>110</v>
      </c>
    </row>
    <row r="30" ht="19" customHeight="1" spans="2:6" x14ac:dyDescent="0.25">
      <c r="B30" s="8" t="s">
        <v>111</v>
      </c>
      <c r="C30" s="50">
        <v>500000</v>
      </c>
      <c r="D30" s="51">
        <f>=MIN(1, '⚡ 2-Min Quick Check-In'!G18/C30)</f>
      </c>
      <c r="E30" s="50">
        <f>=MAX(0, C30-'⚡ 2-Min Quick Check-In'!G18)</f>
      </c>
      <c r="F30" s="52" t="s">
        <v>112</v>
      </c>
    </row>
    <row r="31" ht="19" customHeight="1" spans="2:6" x14ac:dyDescent="0.25">
      <c r="B31" s="53" t="s">
        <v>113</v>
      </c>
      <c r="C31" s="54">
        <v>1000000</v>
      </c>
      <c r="D31" s="55">
        <f>=MIN(1, '⚡ 2-Min Quick Check-In'!G18/C31)</f>
      </c>
      <c r="E31" s="54">
        <f>=MAX(0, C31-'⚡ 2-Min Quick Check-In'!G18)</f>
      </c>
      <c r="F31" s="56" t="s">
        <v>114</v>
      </c>
    </row>
    <row r="33" ht="24" customHeight="1" spans="2:6" x14ac:dyDescent="0.25">
      <c r="B33" s="42" t="s">
        <v>115</v>
      </c>
      <c r="C33" s="42"/>
      <c r="D33" s="42"/>
      <c r="E33" s="42"/>
      <c r="F33" s="42"/>
    </row>
    <row r="34" ht="18" customHeight="1" spans="2:6" x14ac:dyDescent="0.25">
      <c r="B34" s="43" t="s">
        <v>116</v>
      </c>
      <c r="C34" s="43" t="s">
        <v>117</v>
      </c>
      <c r="D34" s="43" t="s">
        <v>118</v>
      </c>
      <c r="E34" s="43" t="s">
        <v>119</v>
      </c>
      <c r="F34" s="43" t="s">
        <v>120</v>
      </c>
    </row>
    <row r="35" ht="24" customHeight="1" spans="2:6" x14ac:dyDescent="0.25">
      <c r="B35" s="57">
        <f>='⚡ 2-Min Quick Check-In'!C18+'⚡ 2-Min Quick Check-In'!D18</f>
      </c>
      <c r="C35" s="57">
        <f>='💸 Smart Budget (50-30-20)'!C20</f>
      </c>
      <c r="D35" s="58">
        <f>=B35/C35</f>
      </c>
      <c r="E35" s="59">
        <f>=B35/'⚡ 2-Min Quick Check-In'!G18</f>
      </c>
      <c r="F35" s="60" t="s">
        <v>121</v>
      </c>
    </row>
    <row r="37" ht="22" customHeight="1" spans="2:6" x14ac:dyDescent="0.25">
      <c r="B37" s="61" t="s">
        <v>122</v>
      </c>
      <c r="C37" s="61"/>
      <c r="D37" s="61"/>
      <c r="E37" s="61"/>
      <c r="F37" s="61"/>
    </row>
  </sheetData>
  <mergeCells count="16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  <mergeCell ref="B22:F22"/>
    <mergeCell ref="B26:F26"/>
    <mergeCell ref="B33:F33"/>
    <mergeCell ref="B37:F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29" t="s">
        <v>123</v>
      </c>
      <c r="C2" s="29"/>
      <c r="D2" s="29"/>
      <c r="E2" s="29"/>
      <c r="F2" s="29"/>
    </row>
    <row r="3" ht="18" customHeight="1" spans="2:6" x14ac:dyDescent="0.25">
      <c r="B3" s="30" t="s">
        <v>124</v>
      </c>
      <c r="C3" s="30"/>
      <c r="D3" s="30"/>
      <c r="E3" s="30"/>
      <c r="F3" s="30"/>
    </row>
    <row r="5" spans="2:6" x14ac:dyDescent="0.25">
      <c r="B5" s="35" t="s">
        <v>125</v>
      </c>
      <c r="C5" s="35"/>
      <c r="D5" s="35"/>
      <c r="E5" s="31" t="s">
        <v>126</v>
      </c>
      <c r="F5" s="31"/>
    </row>
    <row r="6" spans="2:6" x14ac:dyDescent="0.25">
      <c r="B6" s="62">
        <f>=E24</f>
      </c>
      <c r="C6" s="62"/>
      <c r="D6" s="62"/>
      <c r="E6" s="63">
        <f>=E24/30</f>
      </c>
      <c r="F6" s="63"/>
    </row>
    <row r="8" ht="22" customHeight="1" spans="2:6" x14ac:dyDescent="0.25">
      <c r="B8" s="64" t="s">
        <v>127</v>
      </c>
      <c r="C8" s="64" t="s">
        <v>128</v>
      </c>
      <c r="D8" s="64" t="s">
        <v>129</v>
      </c>
      <c r="E8" s="64" t="s">
        <v>130</v>
      </c>
      <c r="F8" s="64" t="s">
        <v>131</v>
      </c>
    </row>
    <row r="9" ht="20" customHeight="1" spans="2:6" x14ac:dyDescent="0.25">
      <c r="B9" s="65" t="s">
        <v>132</v>
      </c>
      <c r="C9" s="65"/>
      <c r="D9" s="65"/>
      <c r="E9" s="65"/>
      <c r="F9" s="65"/>
    </row>
    <row r="10" ht="19" customHeight="1" spans="2:6" x14ac:dyDescent="0.25">
      <c r="B10" s="6" t="s">
        <v>133</v>
      </c>
      <c r="C10" s="15">
        <v>6800</v>
      </c>
      <c r="D10" s="15">
        <v>6800</v>
      </c>
      <c r="E10" s="15">
        <f>=D10-C10</f>
      </c>
      <c r="F10" s="6" t="s">
        <v>134</v>
      </c>
    </row>
    <row r="11" ht="19" customHeight="1" spans="2:6" x14ac:dyDescent="0.25">
      <c r="B11" s="6" t="s">
        <v>135</v>
      </c>
      <c r="C11" s="15">
        <v>2200</v>
      </c>
      <c r="D11" s="15">
        <v>2200</v>
      </c>
      <c r="E11" s="15">
        <f>=D11-C11</f>
      </c>
      <c r="F11" s="6" t="s">
        <v>134</v>
      </c>
    </row>
    <row r="12" ht="19" customHeight="1" spans="2:6" x14ac:dyDescent="0.25">
      <c r="B12" s="6" t="s">
        <v>136</v>
      </c>
      <c r="C12" s="15">
        <v>500</v>
      </c>
      <c r="D12" s="15">
        <v>650</v>
      </c>
      <c r="E12" s="15">
        <f>=D12-C12</f>
      </c>
      <c r="F12" s="6" t="s">
        <v>134</v>
      </c>
    </row>
    <row r="13" ht="20" customHeight="1" spans="2:6" x14ac:dyDescent="0.25">
      <c r="B13" s="66" t="s">
        <v>137</v>
      </c>
      <c r="C13" s="67">
        <f>=SUM(C10:C12)</f>
      </c>
      <c r="D13" s="67">
        <f>=SUM(D10:D12)</f>
      </c>
      <c r="E13" s="67">
        <f>=D13-C13</f>
      </c>
      <c r="F13" s="66" t="s">
        <v>138</v>
      </c>
    </row>
    <row r="14" ht="20" customHeight="1" spans="2:6" x14ac:dyDescent="0.25">
      <c r="B14" s="68" t="s">
        <v>139</v>
      </c>
      <c r="C14" s="68"/>
      <c r="D14" s="68"/>
      <c r="E14" s="68"/>
      <c r="F14" s="68"/>
    </row>
    <row r="15" ht="19" customHeight="1" spans="2:6" x14ac:dyDescent="0.25">
      <c r="B15" s="6" t="s">
        <v>140</v>
      </c>
      <c r="C15" s="15">
        <v>2400</v>
      </c>
      <c r="D15" s="15">
        <v>2400</v>
      </c>
      <c r="E15" s="15">
        <f>=C15-D15</f>
      </c>
      <c r="F15" s="6">
        <f>=TEXT(D15/$D$13, "0.0%")</f>
      </c>
    </row>
    <row r="16" ht="19" customHeight="1" spans="2:6" x14ac:dyDescent="0.25">
      <c r="B16" s="6" t="s">
        <v>141</v>
      </c>
      <c r="C16" s="15">
        <v>750</v>
      </c>
      <c r="D16" s="15">
        <v>820</v>
      </c>
      <c r="E16" s="15">
        <f>=C16-D16</f>
      </c>
      <c r="F16" s="6">
        <f>=TEXT(D16/$D$13, "0.0%")</f>
      </c>
    </row>
    <row r="17" ht="19" customHeight="1" spans="2:6" x14ac:dyDescent="0.25">
      <c r="B17" s="6" t="s">
        <v>142</v>
      </c>
      <c r="C17" s="15">
        <v>320</v>
      </c>
      <c r="D17" s="15">
        <v>310</v>
      </c>
      <c r="E17" s="15">
        <f>=C17-D17</f>
      </c>
      <c r="F17" s="6">
        <f>=TEXT(D17/$D$13, "0.0%")</f>
      </c>
    </row>
    <row r="18" ht="19" customHeight="1" spans="2:6" x14ac:dyDescent="0.25">
      <c r="B18" s="6" t="s">
        <v>143</v>
      </c>
      <c r="C18" s="15">
        <v>450</v>
      </c>
      <c r="D18" s="15">
        <v>450</v>
      </c>
      <c r="E18" s="15">
        <f>=C18-D18</f>
      </c>
      <c r="F18" s="6">
        <f>=TEXT(D18/$D$13, "0.0%")</f>
      </c>
    </row>
    <row r="19" ht="19" customHeight="1" spans="2:6" x14ac:dyDescent="0.25">
      <c r="B19" s="6" t="s">
        <v>144</v>
      </c>
      <c r="C19" s="15">
        <v>400</v>
      </c>
      <c r="D19" s="15">
        <v>380</v>
      </c>
      <c r="E19" s="15">
        <f>=C19-D19</f>
      </c>
      <c r="F19" s="6">
        <f>=TEXT(D19/$D$13, "0.0%")</f>
      </c>
    </row>
    <row r="20" ht="20" customHeight="1" spans="2:6" x14ac:dyDescent="0.25">
      <c r="B20" s="69" t="s">
        <v>145</v>
      </c>
      <c r="C20" s="70">
        <f>=SUM(C15:C19)</f>
      </c>
      <c r="D20" s="70">
        <f>=SUM(D15:D19)</f>
      </c>
      <c r="E20" s="70">
        <f>=C20-D20</f>
      </c>
      <c r="F20" s="69">
        <f>="Actual: " &amp; TEXT(D20/D13, "0.0%") &amp; " (Target: ≤50%)"</f>
      </c>
    </row>
    <row r="21" ht="20" customHeight="1" spans="2:6" x14ac:dyDescent="0.25">
      <c r="B21" s="71" t="s">
        <v>146</v>
      </c>
      <c r="C21" s="71"/>
      <c r="D21" s="71"/>
      <c r="E21" s="71"/>
      <c r="F21" s="71"/>
    </row>
    <row r="22" ht="19" customHeight="1" spans="2:6" x14ac:dyDescent="0.25">
      <c r="B22" s="6" t="s">
        <v>147</v>
      </c>
      <c r="C22" s="15">
        <v>650</v>
      </c>
      <c r="D22" s="15">
        <v>520</v>
      </c>
      <c r="E22" s="15">
        <f>=C22-D22</f>
      </c>
      <c r="F22" s="6">
        <f>=TEXT(D22/$D$13, "0.0%")</f>
      </c>
    </row>
    <row r="23" ht="19" customHeight="1" spans="2:6" x14ac:dyDescent="0.25">
      <c r="B23" s="6" t="s">
        <v>148</v>
      </c>
      <c r="C23" s="15">
        <v>120</v>
      </c>
      <c r="D23" s="15">
        <v>115</v>
      </c>
      <c r="E23" s="15">
        <f>=C23-D23</f>
      </c>
      <c r="F23" s="6">
        <f>=TEXT(D23/$D$13, "0.0%")</f>
      </c>
    </row>
    <row r="24" ht="19" customHeight="1" spans="2:6" x14ac:dyDescent="0.25">
      <c r="B24" s="6" t="s">
        <v>149</v>
      </c>
      <c r="C24" s="15">
        <v>450</v>
      </c>
      <c r="D24" s="15">
        <v>380</v>
      </c>
      <c r="E24" s="15">
        <f>=C24-D24</f>
      </c>
      <c r="F24" s="6">
        <f>=TEXT(D24/$D$13, "0.0%")</f>
      </c>
    </row>
    <row r="25" ht="20" customHeight="1" spans="2:6" x14ac:dyDescent="0.25">
      <c r="B25" s="72" t="s">
        <v>150</v>
      </c>
      <c r="C25" s="73">
        <f>=SUM(C22:C24)</f>
      </c>
      <c r="D25" s="73">
        <f>=SUM(D22:D24)</f>
      </c>
      <c r="E25" s="73">
        <f>=C25-D25</f>
      </c>
      <c r="F25" s="72">
        <f>="Actual: " &amp; TEXT(D25/D13, "0.0%") &amp; " (Target: ≤30%)"</f>
      </c>
    </row>
    <row r="26" ht="20" customHeight="1" spans="2:6" x14ac:dyDescent="0.25">
      <c r="B26" s="65" t="s">
        <v>151</v>
      </c>
      <c r="C26" s="65"/>
      <c r="D26" s="65"/>
      <c r="E26" s="65"/>
      <c r="F26" s="65"/>
    </row>
    <row r="27" ht="19" customHeight="1" spans="2:6" x14ac:dyDescent="0.25">
      <c r="B27" s="6" t="s">
        <v>152</v>
      </c>
      <c r="C27" s="15">
        <v>2200</v>
      </c>
      <c r="D27" s="15">
        <v>2200</v>
      </c>
      <c r="E27" s="15">
        <f>=D27-C27</f>
      </c>
      <c r="F27" s="6">
        <f>=TEXT(D27/$D$13, "0.0%")</f>
      </c>
    </row>
    <row r="28" ht="19" customHeight="1" spans="2:6" x14ac:dyDescent="0.25">
      <c r="B28" s="6" t="s">
        <v>153</v>
      </c>
      <c r="C28" s="15">
        <v>500</v>
      </c>
      <c r="D28" s="15">
        <v>500</v>
      </c>
      <c r="E28" s="15">
        <f>=D28-C28</f>
      </c>
      <c r="F28" s="6">
        <f>=TEXT(D28/$D$13, "0.0%")</f>
      </c>
    </row>
    <row r="29" ht="19" customHeight="1" spans="2:6" x14ac:dyDescent="0.25">
      <c r="B29" s="6" t="s">
        <v>154</v>
      </c>
      <c r="C29" s="15">
        <v>600</v>
      </c>
      <c r="D29" s="15">
        <v>750</v>
      </c>
      <c r="E29" s="15">
        <f>=D29-C29</f>
      </c>
      <c r="F29" s="6">
        <f>=TEXT(D29/$D$13, "0.0%")</f>
      </c>
    </row>
    <row r="30" ht="20" customHeight="1" spans="2:6" x14ac:dyDescent="0.25">
      <c r="B30" s="74" t="s">
        <v>155</v>
      </c>
      <c r="C30" s="75">
        <f>=SUM(C27:C29)</f>
      </c>
      <c r="D30" s="75">
        <f>=SUM(D27:D29)</f>
      </c>
      <c r="E30" s="75">
        <f>=D30-C30</f>
      </c>
      <c r="F30" s="74">
        <f>="Savings Rate: " &amp; TEXT(D30/D13, "0.0%") &amp; " (FIRE Speed)"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156</v>
      </c>
      <c r="C2" s="1"/>
      <c r="D2" s="1"/>
      <c r="E2" s="1"/>
      <c r="F2" s="1"/>
      <c r="G2" s="1"/>
      <c r="H2" s="1"/>
    </row>
    <row r="3" ht="18" customHeight="1" spans="2:8" x14ac:dyDescent="0.25">
      <c r="B3" s="11" t="s">
        <v>157</v>
      </c>
      <c r="C3" s="11"/>
      <c r="D3" s="11"/>
      <c r="E3" s="11"/>
      <c r="F3" s="11"/>
      <c r="G3" s="11"/>
      <c r="H3" s="11"/>
    </row>
    <row r="5" ht="22" customHeight="1" spans="2:8" x14ac:dyDescent="0.25">
      <c r="B5" s="64" t="s">
        <v>158</v>
      </c>
      <c r="C5" s="64" t="s">
        <v>159</v>
      </c>
      <c r="D5" s="64" t="s">
        <v>160</v>
      </c>
      <c r="E5" s="64" t="s">
        <v>161</v>
      </c>
      <c r="F5" s="64" t="s">
        <v>162</v>
      </c>
      <c r="G5" s="64" t="s">
        <v>163</v>
      </c>
      <c r="H5" s="64" t="s">
        <v>164</v>
      </c>
    </row>
    <row r="6" ht="20" customHeight="1" spans="2:8" x14ac:dyDescent="0.25">
      <c r="B6" s="6" t="s">
        <v>165</v>
      </c>
      <c r="C6" s="15">
        <v>25000</v>
      </c>
      <c r="D6" s="15">
        <v>21500</v>
      </c>
      <c r="E6" s="15">
        <f>=C6-D6</f>
      </c>
      <c r="F6" s="6" t="s">
        <v>55</v>
      </c>
      <c r="G6" s="15">
        <v>700</v>
      </c>
      <c r="H6" s="20">
        <f>=D6/C6</f>
      </c>
    </row>
    <row r="7" ht="20" customHeight="1" spans="2:8" x14ac:dyDescent="0.25">
      <c r="B7" s="39" t="s">
        <v>166</v>
      </c>
      <c r="C7" s="22">
        <v>2000</v>
      </c>
      <c r="D7" s="22">
        <v>1400</v>
      </c>
      <c r="E7" s="22">
        <f>=C7-D7</f>
      </c>
      <c r="F7" s="39" t="s">
        <v>57</v>
      </c>
      <c r="G7" s="22">
        <v>150</v>
      </c>
      <c r="H7" s="25">
        <f>=D7/C7</f>
      </c>
    </row>
    <row r="8" ht="20" customHeight="1" spans="2:8" x14ac:dyDescent="0.25">
      <c r="B8" s="6" t="s">
        <v>167</v>
      </c>
      <c r="C8" s="15">
        <v>4500</v>
      </c>
      <c r="D8" s="15">
        <v>2800</v>
      </c>
      <c r="E8" s="15">
        <f>=C8-D8</f>
      </c>
      <c r="F8" s="6" t="s">
        <v>61</v>
      </c>
      <c r="G8" s="15">
        <v>250</v>
      </c>
      <c r="H8" s="20">
        <f>=D8/C8</f>
      </c>
    </row>
    <row r="9" ht="20" customHeight="1" spans="2:8" x14ac:dyDescent="0.25">
      <c r="B9" s="39" t="s">
        <v>168</v>
      </c>
      <c r="C9" s="22">
        <v>1500</v>
      </c>
      <c r="D9" s="22">
        <v>750</v>
      </c>
      <c r="E9" s="22">
        <f>=C9-D9</f>
      </c>
      <c r="F9" s="39" t="s">
        <v>60</v>
      </c>
      <c r="G9" s="22">
        <v>125</v>
      </c>
      <c r="H9" s="25">
        <f>=D9/C9</f>
      </c>
    </row>
    <row r="10" ht="20" customHeight="1" spans="2:8" x14ac:dyDescent="0.25">
      <c r="B10" s="6" t="s">
        <v>169</v>
      </c>
      <c r="C10" s="15">
        <v>3500</v>
      </c>
      <c r="D10" s="15">
        <v>1800</v>
      </c>
      <c r="E10" s="15">
        <f>=C10-D10</f>
      </c>
      <c r="F10" s="6" t="s">
        <v>59</v>
      </c>
      <c r="G10" s="15">
        <v>250</v>
      </c>
      <c r="H10" s="20">
        <f>=D10/C10</f>
      </c>
    </row>
    <row r="11" ht="22" customHeight="1" spans="2:8" x14ac:dyDescent="0.25">
      <c r="B11" s="26" t="s">
        <v>170</v>
      </c>
      <c r="C11" s="27">
        <f>=SUM(C6:C10)</f>
      </c>
      <c r="D11" s="27">
        <f>=SUM(D6:D10)</f>
      </c>
      <c r="E11" s="27">
        <f>=SUM(E6:E10)</f>
      </c>
      <c r="F11" s="26" t="s">
        <v>171</v>
      </c>
      <c r="G11" s="27">
        <f>=SUM(G6:G10)</f>
      </c>
      <c r="H11" s="76">
        <f>=D11/C11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77" t="s">
        <v>172</v>
      </c>
      <c r="C2" s="77"/>
      <c r="D2" s="77"/>
      <c r="E2" s="77"/>
    </row>
    <row r="4" spans="2:5" x14ac:dyDescent="0.25">
      <c r="B4" s="3" t="s">
        <v>173</v>
      </c>
      <c r="C4" s="3"/>
      <c r="D4" s="3"/>
      <c r="E4" s="3"/>
    </row>
    <row r="5" ht="19" customHeight="1" spans="2:3" x14ac:dyDescent="0.25">
      <c r="B5" s="6" t="s">
        <v>174</v>
      </c>
      <c r="C5" s="78">
        <v>32</v>
      </c>
    </row>
    <row r="6" ht="19" customHeight="1" spans="2:3" x14ac:dyDescent="0.25">
      <c r="B6" s="6" t="s">
        <v>175</v>
      </c>
      <c r="C6" s="79">
        <v>66000</v>
      </c>
    </row>
    <row r="7" ht="19" customHeight="1" spans="2:3" x14ac:dyDescent="0.25">
      <c r="B7" s="6" t="s">
        <v>176</v>
      </c>
      <c r="C7" s="80">
        <v>0.04</v>
      </c>
    </row>
    <row r="8" ht="19" customHeight="1" spans="2:3" x14ac:dyDescent="0.25">
      <c r="B8" s="6" t="s">
        <v>177</v>
      </c>
      <c r="C8" s="80">
        <v>0.07</v>
      </c>
    </row>
    <row r="9" ht="19" customHeight="1" spans="2:3" x14ac:dyDescent="0.25">
      <c r="B9" s="6" t="s">
        <v>178</v>
      </c>
      <c r="C9" s="79">
        <f>'⚡ 2-Min Quick Check-In'!D18</f>
      </c>
    </row>
    <row r="10" ht="19" customHeight="1" spans="2:3" x14ac:dyDescent="0.25">
      <c r="B10" s="6" t="s">
        <v>179</v>
      </c>
      <c r="C10" s="79">
        <f>'💸 Smart Budget (50-30-20)'!D27</f>
      </c>
    </row>
    <row r="12" spans="2:5" x14ac:dyDescent="0.25">
      <c r="B12" s="65" t="s">
        <v>180</v>
      </c>
      <c r="C12" s="65"/>
      <c r="D12" s="65"/>
      <c r="E12" s="65"/>
    </row>
    <row r="13" ht="20" customHeight="1" spans="2:4" x14ac:dyDescent="0.25">
      <c r="B13" s="6" t="s">
        <v>181</v>
      </c>
      <c r="C13" s="79">
        <f>C6*0.65/C7</f>
      </c>
      <c r="D13" s="81" t="s">
        <v>182</v>
      </c>
    </row>
    <row r="14" ht="20" customHeight="1" spans="2:4" x14ac:dyDescent="0.25">
      <c r="B14" s="6" t="s">
        <v>183</v>
      </c>
      <c r="C14" s="79">
        <f>C6/C7</f>
      </c>
      <c r="D14" s="81" t="s">
        <v>184</v>
      </c>
    </row>
    <row r="15" ht="20" customHeight="1" spans="2:4" x14ac:dyDescent="0.25">
      <c r="B15" s="6" t="s">
        <v>185</v>
      </c>
      <c r="C15" s="79">
        <f>C6*1.4/C7</f>
      </c>
      <c r="D15" s="81" t="s">
        <v>186</v>
      </c>
    </row>
    <row r="16" ht="20" customHeight="1" spans="2:4" x14ac:dyDescent="0.25">
      <c r="B16" s="6" t="s">
        <v>187</v>
      </c>
      <c r="C16" s="79">
        <f>(C6/C7)/(1+C8)^(60-C5)</f>
      </c>
      <c r="D16" s="81" t="s">
        <v>188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77" t="s">
        <v>189</v>
      </c>
      <c r="C2" s="77"/>
      <c r="D2" s="77"/>
      <c r="E2" s="77"/>
      <c r="F2" s="77"/>
    </row>
    <row r="4" ht="20" customHeight="1" spans="2:6" x14ac:dyDescent="0.25">
      <c r="B4" s="38" t="s">
        <v>190</v>
      </c>
      <c r="C4" s="38" t="s">
        <v>160</v>
      </c>
      <c r="D4" s="38" t="s">
        <v>191</v>
      </c>
      <c r="E4" s="38" t="s">
        <v>192</v>
      </c>
      <c r="F4" s="38" t="s">
        <v>193</v>
      </c>
    </row>
    <row r="5" ht="19" customHeight="1" spans="2:6" x14ac:dyDescent="0.25">
      <c r="B5" s="6" t="s">
        <v>194</v>
      </c>
      <c r="C5" s="15">
        <v>4200</v>
      </c>
      <c r="D5" s="82">
        <v>0.2499</v>
      </c>
      <c r="E5" s="15">
        <v>140</v>
      </c>
      <c r="F5" s="6" t="s">
        <v>195</v>
      </c>
    </row>
    <row r="6" ht="19" customHeight="1" spans="2:6" x14ac:dyDescent="0.25">
      <c r="B6" s="6" t="s">
        <v>196</v>
      </c>
      <c r="C6" s="15">
        <v>8500</v>
      </c>
      <c r="D6" s="82">
        <v>0.115</v>
      </c>
      <c r="E6" s="15">
        <v>210</v>
      </c>
      <c r="F6" s="6" t="s">
        <v>197</v>
      </c>
    </row>
    <row r="7" ht="19" customHeight="1" spans="2:6" x14ac:dyDescent="0.25">
      <c r="B7" s="6" t="s">
        <v>198</v>
      </c>
      <c r="C7" s="15">
        <v>17400</v>
      </c>
      <c r="D7" s="82">
        <v>0.059</v>
      </c>
      <c r="E7" s="15">
        <v>380</v>
      </c>
      <c r="F7" s="6" t="s">
        <v>199</v>
      </c>
    </row>
    <row r="8" ht="19" customHeight="1" spans="2:6" x14ac:dyDescent="0.25">
      <c r="B8" s="6" t="s">
        <v>200</v>
      </c>
      <c r="C8" s="15">
        <v>200000</v>
      </c>
      <c r="D8" s="82">
        <v>0.035</v>
      </c>
      <c r="E8" s="15">
        <v>1670</v>
      </c>
      <c r="F8" s="6" t="s">
        <v>201</v>
      </c>
    </row>
    <row r="9" ht="20" customHeight="1" spans="2:6" x14ac:dyDescent="0.25">
      <c r="B9" s="66" t="s">
        <v>202</v>
      </c>
      <c r="C9" s="67">
        <f>=SUM(C5:C8)</f>
      </c>
      <c r="D9" s="83">
        <f>=AVERAGE(D5:D8)</f>
      </c>
      <c r="E9" s="67">
        <f>=SUM(E5:E8)</f>
      </c>
      <c r="F9" s="66" t="s">
        <v>203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6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77" t="s">
        <v>204</v>
      </c>
      <c r="C2" s="77"/>
      <c r="D2" s="77"/>
      <c r="E2" s="77"/>
      <c r="F2" s="77"/>
      <c r="G2" s="77"/>
      <c r="H2" s="77"/>
    </row>
    <row r="4" ht="20" customHeight="1" spans="2:8" x14ac:dyDescent="0.25">
      <c r="B4" s="38" t="s">
        <v>205</v>
      </c>
      <c r="C4" s="38" t="s">
        <v>206</v>
      </c>
      <c r="D4" s="38" t="s">
        <v>207</v>
      </c>
      <c r="E4" s="38" t="s">
        <v>208</v>
      </c>
      <c r="F4" s="38" t="s">
        <v>209</v>
      </c>
      <c r="G4" s="38" t="s">
        <v>210</v>
      </c>
      <c r="H4" s="38" t="s">
        <v>211</v>
      </c>
    </row>
    <row r="5" ht="19" customHeight="1" spans="2:8" x14ac:dyDescent="0.25">
      <c r="B5" s="6" t="s">
        <v>212</v>
      </c>
      <c r="C5" s="15">
        <v>4800</v>
      </c>
      <c r="D5" s="15">
        <v>39000</v>
      </c>
      <c r="E5" s="15">
        <v>145000</v>
      </c>
      <c r="F5" s="15">
        <v>380000</v>
      </c>
      <c r="G5" s="15">
        <v>750000</v>
      </c>
      <c r="H5" s="15">
        <v>2800000</v>
      </c>
    </row>
    <row r="6" ht="19" customHeight="1" spans="2:8" x14ac:dyDescent="0.25">
      <c r="B6" s="39" t="s">
        <v>213</v>
      </c>
      <c r="C6" s="22">
        <v>35000</v>
      </c>
      <c r="D6" s="22">
        <v>135600</v>
      </c>
      <c r="E6" s="22">
        <v>420000</v>
      </c>
      <c r="F6" s="22">
        <v>980000</v>
      </c>
      <c r="G6" s="22">
        <v>1850000</v>
      </c>
      <c r="H6" s="22">
        <v>5500000</v>
      </c>
    </row>
    <row r="7" ht="19" customHeight="1" spans="2:8" x14ac:dyDescent="0.25">
      <c r="B7" s="6" t="s">
        <v>214</v>
      </c>
      <c r="C7" s="15">
        <v>68000</v>
      </c>
      <c r="D7" s="15">
        <v>247200</v>
      </c>
      <c r="E7" s="15">
        <v>780000</v>
      </c>
      <c r="F7" s="15">
        <v>1950000</v>
      </c>
      <c r="G7" s="15">
        <v>3400000</v>
      </c>
      <c r="H7" s="15">
        <v>10200000</v>
      </c>
    </row>
    <row r="8" ht="19" customHeight="1" spans="2:8" x14ac:dyDescent="0.25">
      <c r="B8" s="39" t="s">
        <v>215</v>
      </c>
      <c r="C8" s="22">
        <v>95000</v>
      </c>
      <c r="D8" s="22">
        <v>364500</v>
      </c>
      <c r="E8" s="22">
        <v>1150000</v>
      </c>
      <c r="F8" s="22">
        <v>2800000</v>
      </c>
      <c r="G8" s="22">
        <v>4900000</v>
      </c>
      <c r="H8" s="22">
        <v>14500000</v>
      </c>
    </row>
    <row r="9" ht="19" customHeight="1" spans="2:8" x14ac:dyDescent="0.25">
      <c r="B9" s="6" t="s">
        <v>216</v>
      </c>
      <c r="C9" s="15">
        <v>110000</v>
      </c>
      <c r="D9" s="15">
        <v>409900</v>
      </c>
      <c r="E9" s="15">
        <v>1350000</v>
      </c>
      <c r="F9" s="15">
        <v>3200000</v>
      </c>
      <c r="G9" s="15">
        <v>5600000</v>
      </c>
      <c r="H9" s="15">
        <v>16800000</v>
      </c>
    </row>
    <row r="10" ht="19" customHeight="1" spans="2:8" x14ac:dyDescent="0.25">
      <c r="B10" s="39" t="s">
        <v>217</v>
      </c>
      <c r="C10" s="22">
        <v>92000</v>
      </c>
      <c r="D10" s="22">
        <v>335600</v>
      </c>
      <c r="E10" s="22">
        <v>1050000</v>
      </c>
      <c r="F10" s="22">
        <v>2600000</v>
      </c>
      <c r="G10" s="22">
        <v>4700000</v>
      </c>
      <c r="H10" s="22">
        <v>13200000</v>
      </c>
    </row>
    <row r="13" ht="24" customHeight="1" spans="2:8" x14ac:dyDescent="0.25">
      <c r="B13" s="84" t="s">
        <v>218</v>
      </c>
      <c r="C13" s="84"/>
      <c r="D13" s="84"/>
      <c r="E13" s="84"/>
      <c r="F13" s="84"/>
      <c r="G13" s="84"/>
      <c r="H13" s="84"/>
    </row>
    <row r="14" ht="20" customHeight="1" spans="2:8" x14ac:dyDescent="0.25">
      <c r="B14" s="38" t="s">
        <v>219</v>
      </c>
      <c r="C14" s="38" t="s">
        <v>220</v>
      </c>
      <c r="D14" s="38" t="s">
        <v>221</v>
      </c>
      <c r="E14" s="38" t="s">
        <v>222</v>
      </c>
      <c r="F14" s="38" t="s">
        <v>223</v>
      </c>
      <c r="G14" s="38" t="s">
        <v>224</v>
      </c>
      <c r="H14" s="38" t="s">
        <v>225</v>
      </c>
    </row>
    <row r="15" ht="19" customHeight="1" spans="2:8" x14ac:dyDescent="0.25">
      <c r="B15" s="6" t="s">
        <v>226</v>
      </c>
      <c r="C15" s="15">
        <v>285000</v>
      </c>
      <c r="D15" s="15">
        <v>1250000</v>
      </c>
      <c r="E15" s="6" t="s">
        <v>227</v>
      </c>
      <c r="F15" s="15">
        <v>785000</v>
      </c>
      <c r="G15" s="6" t="s">
        <v>228</v>
      </c>
      <c r="H15" s="6" t="s">
        <v>229</v>
      </c>
    </row>
    <row r="16" ht="19" customHeight="1" spans="2:8" x14ac:dyDescent="0.25">
      <c r="B16" s="39" t="s">
        <v>230</v>
      </c>
      <c r="C16" s="22">
        <v>245000</v>
      </c>
      <c r="D16" s="22">
        <v>1180000</v>
      </c>
      <c r="E16" s="39" t="s">
        <v>231</v>
      </c>
      <c r="F16" s="22">
        <v>650000</v>
      </c>
      <c r="G16" s="39" t="s">
        <v>228</v>
      </c>
      <c r="H16" s="39" t="s">
        <v>232</v>
      </c>
    </row>
    <row r="17" ht="19" customHeight="1" spans="2:8" x14ac:dyDescent="0.25">
      <c r="B17" s="6" t="s">
        <v>233</v>
      </c>
      <c r="C17" s="15">
        <v>275000</v>
      </c>
      <c r="D17" s="15">
        <v>1200000</v>
      </c>
      <c r="E17" s="6" t="s">
        <v>234</v>
      </c>
      <c r="F17" s="15">
        <v>610000</v>
      </c>
      <c r="G17" s="6" t="s">
        <v>228</v>
      </c>
      <c r="H17" s="6" t="s">
        <v>235</v>
      </c>
    </row>
    <row r="18" ht="19" customHeight="1" spans="2:8" x14ac:dyDescent="0.25">
      <c r="B18" s="39" t="s">
        <v>236</v>
      </c>
      <c r="C18" s="22">
        <v>175000</v>
      </c>
      <c r="D18" s="22">
        <v>820000</v>
      </c>
      <c r="E18" s="39" t="s">
        <v>237</v>
      </c>
      <c r="F18" s="22">
        <v>345000</v>
      </c>
      <c r="G18" s="39" t="s">
        <v>238</v>
      </c>
      <c r="H18" s="39" t="s">
        <v>239</v>
      </c>
    </row>
    <row r="19" ht="19" customHeight="1" spans="2:8" x14ac:dyDescent="0.25">
      <c r="B19" s="6" t="s">
        <v>240</v>
      </c>
      <c r="C19" s="15">
        <v>195000</v>
      </c>
      <c r="D19" s="15">
        <v>890000</v>
      </c>
      <c r="E19" s="6" t="s">
        <v>241</v>
      </c>
      <c r="F19" s="15">
        <v>395000</v>
      </c>
      <c r="G19" s="6" t="s">
        <v>242</v>
      </c>
      <c r="H19" s="6" t="s">
        <v>243</v>
      </c>
    </row>
    <row r="20" ht="19" customHeight="1" spans="2:8" x14ac:dyDescent="0.25">
      <c r="B20" s="39" t="s">
        <v>244</v>
      </c>
      <c r="C20" s="22">
        <v>295000</v>
      </c>
      <c r="D20" s="22">
        <v>1320000</v>
      </c>
      <c r="E20" s="39" t="s">
        <v>245</v>
      </c>
      <c r="F20" s="22">
        <v>640000</v>
      </c>
      <c r="G20" s="39" t="s">
        <v>228</v>
      </c>
      <c r="H20" s="39" t="s">
        <v>246</v>
      </c>
    </row>
    <row r="21" ht="19" customHeight="1" spans="2:8" x14ac:dyDescent="0.25">
      <c r="B21" s="6" t="s">
        <v>247</v>
      </c>
      <c r="C21" s="15">
        <v>185000</v>
      </c>
      <c r="D21" s="15">
        <v>860000</v>
      </c>
      <c r="E21" s="6" t="s">
        <v>248</v>
      </c>
      <c r="F21" s="15">
        <v>275000</v>
      </c>
      <c r="G21" s="6" t="s">
        <v>238</v>
      </c>
      <c r="H21" s="6" t="s">
        <v>249</v>
      </c>
    </row>
    <row r="22" ht="19" customHeight="1" spans="2:8" x14ac:dyDescent="0.25">
      <c r="B22" s="39" t="s">
        <v>250</v>
      </c>
      <c r="C22" s="22">
        <v>260000</v>
      </c>
      <c r="D22" s="22">
        <v>1100000</v>
      </c>
      <c r="E22" s="39" t="s">
        <v>251</v>
      </c>
      <c r="F22" s="22">
        <v>550000</v>
      </c>
      <c r="G22" s="39" t="s">
        <v>252</v>
      </c>
      <c r="H22" s="39" t="s">
        <v>253</v>
      </c>
    </row>
    <row r="25" ht="24" customHeight="1" spans="2:8" x14ac:dyDescent="0.25">
      <c r="B25" s="85" t="s">
        <v>254</v>
      </c>
      <c r="C25" s="85"/>
      <c r="D25" s="85"/>
      <c r="E25" s="85"/>
      <c r="F25" s="85"/>
      <c r="G25" s="85"/>
      <c r="H25" s="85"/>
    </row>
    <row r="26" ht="20" customHeight="1" spans="2:8" x14ac:dyDescent="0.25">
      <c r="B26" s="38" t="s">
        <v>255</v>
      </c>
      <c r="C26" s="38" t="s">
        <v>256</v>
      </c>
      <c r="D26" s="38" t="s">
        <v>257</v>
      </c>
      <c r="E26" s="38" t="s">
        <v>258</v>
      </c>
      <c r="F26" s="38" t="s">
        <v>259</v>
      </c>
      <c r="G26" s="38" t="s">
        <v>260</v>
      </c>
      <c r="H26" s="38" t="s">
        <v>261</v>
      </c>
    </row>
    <row r="27" ht="19" customHeight="1" spans="2:8" x14ac:dyDescent="0.25">
      <c r="B27" s="6" t="s">
        <v>262</v>
      </c>
      <c r="C27" s="86">
        <v>1</v>
      </c>
      <c r="D27" s="15">
        <v>100000</v>
      </c>
      <c r="E27" s="15">
        <v>150000</v>
      </c>
      <c r="F27" s="6" t="s">
        <v>263</v>
      </c>
      <c r="G27" s="6" t="s">
        <v>264</v>
      </c>
      <c r="H27" s="6" t="s">
        <v>265</v>
      </c>
    </row>
    <row r="28" ht="19" customHeight="1" spans="2:8" x14ac:dyDescent="0.25">
      <c r="B28" s="39" t="s">
        <v>266</v>
      </c>
      <c r="C28" s="87">
        <v>2</v>
      </c>
      <c r="D28" s="22">
        <v>200000</v>
      </c>
      <c r="E28" s="22">
        <v>300000</v>
      </c>
      <c r="F28" s="39" t="s">
        <v>267</v>
      </c>
      <c r="G28" s="39" t="s">
        <v>264</v>
      </c>
      <c r="H28" s="39" t="s">
        <v>265</v>
      </c>
    </row>
    <row r="29" ht="19" customHeight="1" spans="2:8" x14ac:dyDescent="0.25">
      <c r="B29" s="6" t="s">
        <v>268</v>
      </c>
      <c r="C29" s="86">
        <v>3</v>
      </c>
      <c r="D29" s="15">
        <v>300000</v>
      </c>
      <c r="E29" s="15">
        <v>450000</v>
      </c>
      <c r="F29" s="6" t="s">
        <v>269</v>
      </c>
      <c r="G29" s="6" t="s">
        <v>264</v>
      </c>
      <c r="H29" s="6" t="s">
        <v>265</v>
      </c>
    </row>
    <row r="30" ht="19" customHeight="1" spans="2:8" x14ac:dyDescent="0.25">
      <c r="B30" s="39" t="s">
        <v>270</v>
      </c>
      <c r="C30" s="87">
        <v>4</v>
      </c>
      <c r="D30" s="22">
        <v>400000</v>
      </c>
      <c r="E30" s="22">
        <v>600000</v>
      </c>
      <c r="F30" s="39" t="s">
        <v>271</v>
      </c>
      <c r="G30" s="39" t="s">
        <v>264</v>
      </c>
      <c r="H30" s="39" t="s">
        <v>265</v>
      </c>
    </row>
    <row r="31" ht="19" customHeight="1" spans="2:8" x14ac:dyDescent="0.25">
      <c r="B31" s="6" t="s">
        <v>272</v>
      </c>
      <c r="C31" s="86">
        <v>6</v>
      </c>
      <c r="D31" s="15">
        <v>600000</v>
      </c>
      <c r="E31" s="15">
        <v>900000</v>
      </c>
      <c r="F31" s="6" t="s">
        <v>273</v>
      </c>
      <c r="G31" s="6" t="s">
        <v>264</v>
      </c>
      <c r="H31" s="6" t="s">
        <v>265</v>
      </c>
    </row>
    <row r="32" ht="19" customHeight="1" spans="2:8" x14ac:dyDescent="0.25">
      <c r="B32" s="39" t="s">
        <v>274</v>
      </c>
      <c r="C32" s="87">
        <v>7</v>
      </c>
      <c r="D32" s="22">
        <v>700000</v>
      </c>
      <c r="E32" s="22">
        <v>1050000</v>
      </c>
      <c r="F32" s="39" t="s">
        <v>275</v>
      </c>
      <c r="G32" s="39" t="s">
        <v>264</v>
      </c>
      <c r="H32" s="39" t="s">
        <v>265</v>
      </c>
    </row>
    <row r="33" ht="19" customHeight="1" spans="2:8" x14ac:dyDescent="0.25">
      <c r="B33" s="6" t="s">
        <v>276</v>
      </c>
      <c r="C33" s="86">
        <v>8</v>
      </c>
      <c r="D33" s="15">
        <v>800000</v>
      </c>
      <c r="E33" s="15">
        <v>1200000</v>
      </c>
      <c r="F33" s="6" t="s">
        <v>277</v>
      </c>
      <c r="G33" s="6" t="s">
        <v>264</v>
      </c>
      <c r="H33" s="6" t="s">
        <v>265</v>
      </c>
    </row>
    <row r="34" ht="19" customHeight="1" spans="2:8" x14ac:dyDescent="0.25">
      <c r="B34" s="39" t="s">
        <v>278</v>
      </c>
      <c r="C34" s="87">
        <v>10</v>
      </c>
      <c r="D34" s="22">
        <v>1000000</v>
      </c>
      <c r="E34" s="22">
        <v>1500000</v>
      </c>
      <c r="F34" s="39" t="s">
        <v>279</v>
      </c>
      <c r="G34" s="39" t="s">
        <v>264</v>
      </c>
      <c r="H34" s="39" t="s">
        <v>265</v>
      </c>
    </row>
    <row r="36" ht="22" customHeight="1" spans="2:8" x14ac:dyDescent="0.25">
      <c r="B36" s="61" t="s">
        <v>280</v>
      </c>
      <c r="C36" s="61"/>
      <c r="D36" s="61"/>
      <c r="E36" s="61"/>
      <c r="F36" s="61"/>
      <c r="G36" s="61"/>
      <c r="H36" s="61"/>
    </row>
  </sheetData>
  <mergeCells count="4">
    <mergeCell ref="B2:H2"/>
    <mergeCell ref="B13:H13"/>
    <mergeCell ref="B25:H25"/>
    <mergeCell ref="B36:H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🟢 START HERE (60-Sec Guide)</vt:lpstr>
      <vt:lpstr>⚡ 2-Min Quick Check-In</vt:lpstr>
      <vt:lpstr>📊 Executive Dashboard</vt:lpstr>
      <vt:lpstr>💸 Smart Budget (50-30-20)</vt:lpstr>
      <vt:lpstr>🎯 Sinking Funds Shield</vt:lpstr>
      <vt:lpstr>🔥 FIRE Freedom Engine</vt:lpstr>
      <vt:lpstr>💳 Debt Avalanche &amp; Snowball</vt:lpstr>
      <vt:lpstr>🏛️ Fed &amp; State Benchmarks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GetNetWorth Analytics Team</dc:creator>
  <dc:title/>
  <dc:subject/>
  <dc:description/>
  <cp:keywords/>
  <cp:category/>
  <cp:lastModifiedBy>GetNetWorth Analytics Team</cp:lastModifiedBy>
  <dcterms:created xsi:type="dcterms:W3CDTF">2026-10-22T11:52:12Z</dcterms:created>
  <dcterms:modified xsi:type="dcterms:W3CDTF">2026-10-22T11:52:12Z</dcterms:modified>
</cp:coreProperties>
</file>