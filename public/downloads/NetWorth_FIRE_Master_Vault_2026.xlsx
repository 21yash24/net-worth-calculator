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2-Min Check-In" state="visible" r:id="rId5"/>
    <sheet sheetId="3" name="Executive Dashboard" state="visible" r:id="rId6"/>
    <sheet sheetId="4" name="Smart Budget (50-30-20)" state="visible" r:id="rId7"/>
    <sheet sheetId="5" name="Sinking Funds Shield" state="visible" r:id="rId8"/>
    <sheet sheetId="6" name="FIRE Freedom Engine" state="visible" r:id="rId9"/>
    <sheet sheetId="7" name="Debt Avalanche &amp; Snowball" state="visible" r:id="rId10"/>
    <sheet sheetId="8" name="Fed &amp; State Benchmarks" state="visible" r:id="rId11"/>
  </sheets>
  <calcPr calcId="171027"/>
</workbook>
</file>

<file path=xl/sharedStrings.xml><?xml version="1.0" encoding="utf-8"?>
<sst xmlns="http://schemas.openxmlformats.org/spreadsheetml/2006/main" count="336" uniqueCount="310">
  <si>
    <t>🏛️ GETNETWORTHCALCULATOR.COM • OFFICIAL WEALTH &amp; BUDGET OPERATING SYSTEM</t>
  </si>
  <si>
    <t>Modeled by GetNetWorth Analytics | Benchmarked Against US Federal Reserve SCF Microdata (2026)</t>
  </si>
  <si>
    <t>🚀 THE 3-STEP MONTHLY ROUTINE (TAKES 2 MINUTES ON THE 1ST OF EACH MONTH)</t>
  </si>
  <si>
    <t>Step 1: Open Tab 2</t>
  </si>
  <si>
    <t>Click '2-Min Check-In'</t>
  </si>
  <si>
    <t>On the 1st of every month, open the second tab.</t>
  </si>
  <si>
    <t>Step 2: Enter 4 Numbers</t>
  </si>
  <si>
    <t>Fill the Green Cells Only</t>
  </si>
  <si>
    <t>Type your: (1) Cash, (2) Invested Portfolio, (3) Property Value, (4) Total Debts.</t>
  </si>
  <si>
    <t>Step 3: You Are Done!</t>
  </si>
  <si>
    <t>Relax &amp; Enjoy Your Life</t>
  </si>
  <si>
    <t>All formulas, Fed Reserve Percentile rankings, FIRE retirement dates, and Safe-to-Spend buffers calculate automatically!</t>
  </si>
  <si>
    <t>🎨 VISUAL COLOR CODES (HOW TO NEVER BREAK A FORMULA)</t>
  </si>
  <si>
    <t>🟩 GREEN CELLS</t>
  </si>
  <si>
    <t>Your Input Area</t>
  </si>
  <si>
    <t>Safe to edit and type your monthly numbers here.</t>
  </si>
  <si>
    <t>⬛ DARK / SLATE CELLS</t>
  </si>
  <si>
    <t>Automated Math Engine</t>
  </si>
  <si>
    <t>Formulas do all the work here. Never edit or delete these.</t>
  </si>
  <si>
    <t>🟨 GOLD / AMBER CELLS</t>
  </si>
  <si>
    <t>Key Benchmarks &amp; Goals</t>
  </si>
  <si>
    <t>Shows your Federal Reserve percentile, Coast FIRE, and Safe-to-Spend limit.</t>
  </si>
  <si>
    <t>📖 WHAT EACH TAB DOES (CHOOSE YOUR PURPOSE)</t>
  </si>
  <si>
    <t>2-Min Check-In</t>
  </si>
  <si>
    <t>For 90% of months: Type 4 numbers once a month in 90 seconds. Zero homework.</t>
  </si>
  <si>
    <t>📊 Executive Dashboard</t>
  </si>
  <si>
    <t>Bloomberg-style visual terminal with Stanley &amp; Danko Wealth Class (PAW/UAW) Engine.</t>
  </si>
  <si>
    <t>💸 Smart Budget (50/30/20)</t>
  </si>
  <si>
    <t>Answers: 'How much can I spend today guilt-free?' (Needs 50%, Wants 30%, Wealth 20%).</t>
  </si>
  <si>
    <t>Sinking Funds Shield</t>
  </si>
  <si>
    <t>Prevents budget shock from car repairs, holiday travel, and annual insurance renewals.</t>
  </si>
  <si>
    <t>FIRE Freedom Engine</t>
  </si>
  <si>
    <t>Trinity 4% rule calculator showing your Coast FIRE milestone and exact retirement date.</t>
  </si>
  <si>
    <t>💳 Debt Accelerator</t>
  </si>
  <si>
    <t>Side-by-side Avalanche (interest saver) vs Snowball (momentum builder) payoff rank.</t>
  </si>
  <si>
    <t>🏛️ Fed &amp; State Benchmarks</t>
  </si>
  <si>
    <t>Official US Federal Reserve SCF microdata + 50 US States Median Wealth Index.</t>
  </si>
  <si>
    <t>🌐 GetNetWorthCalculator.com • 100% Private, Anonymous &amp; Offline • Official 2026 Edition</t>
  </si>
  <si>
    <t>⚡ 60-SECOND INSTANT DOPAMINE TEST-DRIVE (GET IMMEDIATE WINS NOW)</t>
  </si>
  <si>
    <t>Type 3 numbers into the green boxes below. Watch your official wealth tier and milestone unlock immediately!</t>
  </si>
  <si>
    <t>1. YOUR CURRENT AGE</t>
  </si>
  <si>
    <t>2. ANNUAL PRE-TAX INCOME</t>
  </si>
  <si>
    <t>3. CURRENT ESTIMATED NET WORTH</t>
  </si>
  <si>
    <t>🏆 OFFICIAL WEALTH TIER</t>
  </si>
  <si>
    <t>🎯 TARGET NET WORTH FOR AGE</t>
  </si>
  <si>
    <t>🚀 NEXT MILESTONE CLUB</t>
  </si>
  <si>
    <t>🧛‍♂️ THE 5-MINUTE VAMPIRE PURGE (FIND $1,000+ IN CASH RIGHT NOW)</t>
  </si>
  <si>
    <t>Recurring Monthly Leak / Subscription</t>
  </si>
  <si>
    <t>Monthly Cost ($)</t>
  </si>
  <si>
    <t>Action Plan &amp; Reality Check</t>
  </si>
  <si>
    <t>Unused Streaming / Digital Subscriptions</t>
  </si>
  <si>
    <t>Cancel unneeded services</t>
  </si>
  <si>
    <t>Unused Gym / Health App Memberships</t>
  </si>
  <si>
    <t>Downgrade or pause immediately</t>
  </si>
  <si>
    <t>DoorDash / Takeout Delivery Markups &amp; Fees</t>
  </si>
  <si>
    <t>Limit takeout to 1x weekly</t>
  </si>
  <si>
    <t>Overpriced Cellphone / Insurance Plan</t>
  </si>
  <si>
    <t>Shop rate or switch carrier</t>
  </si>
  <si>
    <t>TOTAL RECURRENT LEAKAGE DISCOVERED</t>
  </si>
  <si>
    <t>Found in your budget in 3 minutes</t>
  </si>
  <si>
    <t>🟢 INSTANT ANNUAL CASH UNLOCKED</t>
  </si>
  <si>
    <t>📈 10-YEAR COMPOUNDED WEALTH (8%)</t>
  </si>
  <si>
    <t>⏳ THE LIFE ENERGY CALCULATOR (IS THAT PURCHASE WORTH YOUR FINITE HOURS?)</t>
  </si>
  <si>
    <t>Your Real Hourly Wage (C30 / 2,080 hrs)</t>
  </si>
  <si>
    <t>Impulse Purchase Price ($)</t>
  </si>
  <si>
    <t>Actual Hours of Your Life It Costs</t>
  </si>
  <si>
    <t>🚀 READY FOR YOUR 2-MINUTE MONTHLY ROUTINE? CLICK THE "2-Min Check-In" TAB BELOW! 👇</t>
  </si>
  <si>
    <t>⚡ 2-MINUTE MONTHLY QUICK CHECK-IN • GETNETWORTHCALCULATOR.COM</t>
  </si>
  <si>
    <t>Rule of Thumb: On the 1st of each month, type just 4 numbers (green headers). Net Worth, Liquid Ratio &amp; Deltas compute automatically.</t>
  </si>
  <si>
    <t>Month</t>
  </si>
  <si>
    <t>💵 Cash &amp; Savings</t>
  </si>
  <si>
    <t>📈 Invested Portfolio</t>
  </si>
  <si>
    <t>🏠 Property &amp; Assets</t>
  </si>
  <si>
    <t>💳 Total Debts</t>
  </si>
  <si>
    <t>🏛️ TOTAL NET WORTH</t>
  </si>
  <si>
    <t>MoM Gain ($)</t>
  </si>
  <si>
    <t>MoM Growth (%)</t>
  </si>
  <si>
    <t>💧 LIQUID NET WORTH</t>
  </si>
  <si>
    <t>Liquid Ratio (%)</t>
  </si>
  <si>
    <t>Jan 2026</t>
  </si>
  <si>
    <t>Feb 2026</t>
  </si>
  <si>
    <t>Mar 2026</t>
  </si>
  <si>
    <t>Apr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</si>
  <si>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</si>
  <si>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</si>
  <si>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</si>
  <si>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</si>
  <si>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</si>
  <si>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</si>
  <si>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</si>
  <si>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</si>
  <si>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LATEST / ANNUAL</t>
  </si>
  <si>
    <t>🏛️ EXECUTIVE WEALTH COMMAND CENTER • GETNETWORTHCALCULATOR.COM</t>
  </si>
  <si>
    <t>Private Wealth Dashboard • Federal Reserve SCF Percentile Engine • Trinity Study FIRE Calculator</t>
  </si>
  <si>
    <t>TOTAL NET WORTH (AS OF DEC)</t>
  </si>
  <si>
    <t>LIQUID INVESTED PORTFOLIO</t>
  </si>
  <si>
    <t>FED RESERVE SCF RANK</t>
  </si>
  <si>
    <t>Top 12%</t>
  </si>
  <si>
    <t>Age Bracket: 30 - 34 (US Baseline)</t>
  </si>
  <si>
    <t>📈 12-MONTH WEALTH TRAJECTORY &amp; SUMMARY</t>
  </si>
  <si>
    <t>Quarter / Milestone</t>
  </si>
  <si>
    <t>Net Worth</t>
  </si>
  <si>
    <t>Invested Assets</t>
  </si>
  <si>
    <t>Total Liabilities</t>
  </si>
  <si>
    <t>Progress Note</t>
  </si>
  <si>
    <t>Q1 (Jan 2026 Baseline)</t>
  </si>
  <si>
    <t>Starting 2026 Baseline</t>
  </si>
  <si>
    <t>Q2 (Apr 2026)</t>
  </si>
  <si>
    <t>Q1 Tax Optimization</t>
  </si>
  <si>
    <t>Q3 (Jul 2026)</t>
  </si>
  <si>
    <t>Mid-Year Portfolio Rebalance</t>
  </si>
  <si>
    <t>Q4 (Oct 2026)</t>
  </si>
  <si>
    <t>Year-End Sinking Fund Push</t>
  </si>
  <si>
    <t>Year-End Total (Dec 2026)</t>
  </si>
  <si>
    <t>Annual Target Achieved</t>
  </si>
  <si>
    <t>🔥 FINANCIAL INDEPENDENCE (FIRE) READINESS</t>
  </si>
  <si>
    <t>Lean FIRE (25x Basic Needs)</t>
  </si>
  <si>
    <t>Standard FIRE (4% Rule)</t>
  </si>
  <si>
    <t>Coast FIRE Target (Age 32)</t>
  </si>
  <si>
    <t>Estimated Freedom Date</t>
  </si>
  <si>
    <t>$1,080,000</t>
  </si>
  <si>
    <t>$1,650,000</t>
  </si>
  <si>
    <t>$185,000</t>
  </si>
  <si>
    <t>October 2038</t>
  </si>
  <si>
    <t>🏆 STANLEY &amp; DANKO WEALTH ACCUMULATION CLASS (PAW / AAW / UAW ENGINE)</t>
  </si>
  <si>
    <t>Your Age (Green Input)</t>
  </si>
  <si>
    <t>Pre-Tax Income (Green Input)</t>
  </si>
  <si>
    <t>Expected NW (Age×Income/10)</t>
  </si>
  <si>
    <t>Accumulation Multiplier</t>
  </si>
  <si>
    <t>Wealth Class Status</t>
  </si>
  <si>
    <t>🎯 WEALTH ACCELERATION MILESTONES (CHARLIE MUNGER COMPOUNDING CURVE)</t>
  </si>
  <si>
    <t>Milestone Tier</t>
  </si>
  <si>
    <t>Target ($)</t>
  </si>
  <si>
    <t>Progress (%)</t>
  </si>
  <si>
    <t>Remaining Gap ($)</t>
  </si>
  <si>
    <t>Compounding Dynamics &amp; Insights</t>
  </si>
  <si>
    <t>$100,000 (Base Foundation)</t>
  </si>
  <si>
    <t>The hardest milestone — 100% savings driven (Charlie Munger rule)</t>
  </si>
  <si>
    <t>$250,000 (Tipping Point)</t>
  </si>
  <si>
    <t>Compounding returns begin matching your monthly cash savings</t>
  </si>
  <si>
    <t>$500,000 (Half-Million)</t>
  </si>
  <si>
    <t>Investment gains frequently exceed annual take-home salary</t>
  </si>
  <si>
    <t>$1,000,000 (Two-Comma Club)</t>
  </si>
  <si>
    <t>Top 7% of US households — Full Financial Sovereignty</t>
  </si>
  <si>
    <t>💧 LIQUID NET WORTH &amp; EMERGENCY RUNWAY SHIELD • GETNETWORTHCALCULATOR.COM</t>
  </si>
  <si>
    <t>Liquid Assets (Cash+Invested)</t>
  </si>
  <si>
    <t>Monthly Baseline Needs</t>
  </si>
  <si>
    <t>Emergency Runway (Months)</t>
  </si>
  <si>
    <t>Liquid to Total NW Ratio</t>
  </si>
  <si>
    <t>Safe Liquidity Benchmark</t>
  </si>
  <si>
    <t>3-6 Mo for W2 • 12+ Mo for 1099/FIRE</t>
  </si>
  <si>
    <t>🌐 LIVE TOOLS ON GETNETWORTHCALCULATOR.COM: /wealth-class-calculator • /liquid-net-worth-calculator • /state • /coast-fire</t>
  </si>
  <si>
    <t>💸 SMART MONTHLY CASH FLOW &amp; 50/30/20 BUDGET • GETNETWORTHCALCULATOR.COM</t>
  </si>
  <si>
    <t>Answers: "How much can I safely spend guilt-free?" • 50% Needs, 30% Wants, 20% Wealth Surplus.</t>
  </si>
  <si>
    <t>🟢 REMAINING GUILT-FREE SPENDING BUFFER</t>
  </si>
  <si>
    <t>DAILY ALLOWANCE (30 DAYS)</t>
  </si>
  <si>
    <t>Cash Flow Stream</t>
  </si>
  <si>
    <t>Planned ($)</t>
  </si>
  <si>
    <t>Actual ($)</t>
  </si>
  <si>
    <t>Remaining ($)</t>
  </si>
  <si>
    <t>50/30/20 Benchmark</t>
  </si>
  <si>
    <t>📥 MONTHLY NET INCOME (TAKE-HOME PAY)</t>
  </si>
  <si>
    <t>Primary Salary / Take-Home</t>
  </si>
  <si>
    <t>Inflow</t>
  </si>
  <si>
    <t>Partner / Secondary Income</t>
  </si>
  <si>
    <t>Side Hustles / Dividends</t>
  </si>
  <si>
    <t>TOTAL NET INCOME</t>
  </si>
  <si>
    <t>100.0% Baseline</t>
  </si>
  <si>
    <t>🏠 ESSENTIAL NEEDS (TARGET: ≤ 50% OF INCOME)</t>
  </si>
  <si>
    <t>Mortgage / Rent Payment</t>
  </si>
  <si>
    <t>Groceries &amp; Household Essentials</t>
  </si>
  <si>
    <t>Utilities, Electricity &amp; Internet</t>
  </si>
  <si>
    <t>Healthcare &amp; Insurance Premiums</t>
  </si>
  <si>
    <t>Car Payment / Transportation / Gas</t>
  </si>
  <si>
    <t>TOTAL ESSENTIAL NEEDS</t>
  </si>
  <si>
    <t>🎉 GUILT-FREE WANTS (TARGET: ≤ 30% OF INCOME)</t>
  </si>
  <si>
    <t>Dining Out &amp; Weekend Socials</t>
  </si>
  <si>
    <t>Entertainment, Streaming &amp; Subs</t>
  </si>
  <si>
    <t>Shopping &amp; Personal Hobbies</t>
  </si>
  <si>
    <t>TOTAL GUILT-FREE WANTS</t>
  </si>
  <si>
    <t>🚀 WEALTH SURPLUS &amp; SAVINGS (TARGET: ≥ 20% OF INCOME)</t>
  </si>
  <si>
    <t>401(k) / IRA / Index Fund DCA</t>
  </si>
  <si>
    <t>Emergency Sinking Fund Transfer</t>
  </si>
  <si>
    <t>Extra Debt Acceleration Principal</t>
  </si>
  <si>
    <t>TOTAL WEALTH SURPLUS</t>
  </si>
  <si>
    <t>🎯 SINKING FUNDS &amp; IRREGULAR EXPENSE DEFENSE SHIELD • GETNETWORTHCALCULATOR.COM</t>
  </si>
  <si>
    <t>Prevents budget shock from annual car insurance, holiday gifts, unexpected home repairs, and vacations.</t>
  </si>
  <si>
    <t>Fund Name / Category</t>
  </si>
  <si>
    <t>Target Goal</t>
  </si>
  <si>
    <t>Current Balance</t>
  </si>
  <si>
    <t>Remaining Gap</t>
  </si>
  <si>
    <t>Target Deadline</t>
  </si>
  <si>
    <t>Monthly Allocation</t>
  </si>
  <si>
    <t>Fund Health</t>
  </si>
  <si>
    <t>🛡️ 6-Month Emergency Runway</t>
  </si>
  <si>
    <t>🚗 Car Maintenance &amp; Tires</t>
  </si>
  <si>
    <t>🏖️ Annual Family Vacation</t>
  </si>
  <si>
    <t>🎁 Holiday Season &amp; Gifts</t>
  </si>
  <si>
    <t>🏠 Home Appliance &amp; Repair Pool</t>
  </si>
  <si>
    <t>TOTAL SINKING FUNDS</t>
  </si>
  <si>
    <t>Multiple</t>
  </si>
  <si>
    <t>🔥 FINANCIAL INDEPENDENCE &amp; EARLY RETIREMENT CALCULATOR • GETNETWORTHCALCULATOR.COM</t>
  </si>
  <si>
    <t>1. CORE ASSUMPTIONS &amp; SAFE WITHDRAWAL RATE (SWR)</t>
  </si>
  <si>
    <t>Current Age</t>
  </si>
  <si>
    <t>Target Annual Retirement Spending</t>
  </si>
  <si>
    <t>Safe Withdrawal Rate (Standard Trinity 4%)</t>
  </si>
  <si>
    <t>Expected Real Return After Inflation</t>
  </si>
  <si>
    <t>Current Liquid Invested Portfolio</t>
  </si>
  <si>
    <t>Monthly Investment Inflow (from Budget)</t>
  </si>
  <si>
    <t>2. THE 4 FIRE MILESTONES (LEAN, STANDARD, FAT, COAST)</t>
  </si>
  <si>
    <t>Lean FIRE (25x Bare Minimum Expenses)</t>
  </si>
  <si>
    <t>Survival baseline without luxury</t>
  </si>
  <si>
    <t>Standard FIRE (25x Current Expenses / 4%)</t>
  </si>
  <si>
    <t>Replaces 100% of current lifestyle</t>
  </si>
  <si>
    <t>Fat FIRE (Abundant Lifestyle 35x Expenses)</t>
  </si>
  <si>
    <t>Zero financial restrictions</t>
  </si>
  <si>
    <t>Coast FIRE Target for Age 32 (No Further Savings)</t>
  </si>
  <si>
    <t>Compounding does all remaining work</t>
  </si>
  <si>
    <t>💳 DEBT PAYOFF ACCELERATOR: AVALANCHE VS SNOWBALL • GETNETWORTHCALCULATOR.COM</t>
  </si>
  <si>
    <t>Debt Name</t>
  </si>
  <si>
    <t>Interest APR</t>
  </si>
  <si>
    <t>Min Payment</t>
  </si>
  <si>
    <t>Avalanche Rank</t>
  </si>
  <si>
    <t>Credit Card A (High APR)</t>
  </si>
  <si>
    <t>Priority #1 (Avalanche)</t>
  </si>
  <si>
    <t>Personal Consolidation Loan</t>
  </si>
  <si>
    <t>Priority #2</t>
  </si>
  <si>
    <t>Auto Loan (Vehicle)</t>
  </si>
  <si>
    <t>Priority #3</t>
  </si>
  <si>
    <t>Primary Mortgage</t>
  </si>
  <si>
    <t>Priority #4 (Low Interest)</t>
  </si>
  <si>
    <t>TOTAL LIABILITIES</t>
  </si>
  <si>
    <t>Blended APR</t>
  </si>
  <si>
    <t>🏛️ OFFICIAL US FEDERAL RESERVE SCF BENCHMARK DATA • GETNETWORTHCALCULATOR.COM</t>
  </si>
  <si>
    <t>Age Bracket</t>
  </si>
  <si>
    <t>25th Pct</t>
  </si>
  <si>
    <t>50th (Median)</t>
  </si>
  <si>
    <t>75th Pct</t>
  </si>
  <si>
    <t>90th Pct</t>
  </si>
  <si>
    <t>95th Pct</t>
  </si>
  <si>
    <t>Top 1% (99th)</t>
  </si>
  <si>
    <t>Under 35</t>
  </si>
  <si>
    <t>35 - 44</t>
  </si>
  <si>
    <t>45 - 54</t>
  </si>
  <si>
    <t>55 - 64</t>
  </si>
  <si>
    <t>65 - 74</t>
  </si>
  <si>
    <t>75+</t>
  </si>
  <si>
    <t>📍 TOP 10 US STATES WEALTH &amp; COST-OF-LIVING INDEX • GETNETWORTHCALCULATOR.COM/STATE</t>
  </si>
  <si>
    <t>US State</t>
  </si>
  <si>
    <t>Median NW</t>
  </si>
  <si>
    <t>Top 10% NW</t>
  </si>
  <si>
    <t>COL Index</t>
  </si>
  <si>
    <t>Median Home</t>
  </si>
  <si>
    <t>Wealth Tier</t>
  </si>
  <si>
    <t>Website State Hub</t>
  </si>
  <si>
    <t>California (CA)</t>
  </si>
  <si>
    <t>138.5 (HCOL)</t>
  </si>
  <si>
    <t>Top Tier</t>
  </si>
  <si>
    <t>getnetworthcalculator.com/state/california</t>
  </si>
  <si>
    <t>New York (NY)</t>
  </si>
  <si>
    <t>134.2 (HCOL)</t>
  </si>
  <si>
    <t>getnetworthcalculator.com/state/new-york</t>
  </si>
  <si>
    <t>Washington (WA)</t>
  </si>
  <si>
    <t>115.1 (MCOL+)</t>
  </si>
  <si>
    <t>getnetworthcalculator.com/state/washington</t>
  </si>
  <si>
    <t>Texas (TX)</t>
  </si>
  <si>
    <t>92.5 (LCOL)</t>
  </si>
  <si>
    <t>High Value</t>
  </si>
  <si>
    <t>getnetworthcalculator.com/state/texas</t>
  </si>
  <si>
    <t>Florida (FL)</t>
  </si>
  <si>
    <t>102.8 (Avg)</t>
  </si>
  <si>
    <t>Growing</t>
  </si>
  <si>
    <t>getnetworthcalculator.com/state/florida</t>
  </si>
  <si>
    <t>Massachusetts (MA)</t>
  </si>
  <si>
    <t>148.0 (HCOL)</t>
  </si>
  <si>
    <t>getnetworthcalculator.com/state/massachusetts</t>
  </si>
  <si>
    <t>Illinois (IL)</t>
  </si>
  <si>
    <t>91.8 (LCOL)</t>
  </si>
  <si>
    <t>getnetworthcalculator.com/state/illinois</t>
  </si>
  <si>
    <t>Colorado (CO)</t>
  </si>
  <si>
    <t>105.4 (Avg)</t>
  </si>
  <si>
    <t>High Growth</t>
  </si>
  <si>
    <t>getnetworthcalculator.com/state/colorado</t>
  </si>
  <si>
    <t>📊 FIDELITY RETIREMENT SAVINGS BENCHMARKS BY AGE • GETNETWORTHCALCULATOR.COM</t>
  </si>
  <si>
    <t>Age Milestone</t>
  </si>
  <si>
    <t>Salary Multiplier</t>
  </si>
  <si>
    <t>Target ($100k Sal)</t>
  </si>
  <si>
    <t>Target ($150k Sal)</t>
  </si>
  <si>
    <t>Fidelity Rule of Thumb</t>
  </si>
  <si>
    <t>Online Calculator Tool</t>
  </si>
  <si>
    <t>Website Hub</t>
  </si>
  <si>
    <t>Age 30</t>
  </si>
  <si>
    <t>Have 1x annual salary saved in invested portfolio</t>
  </si>
  <si>
    <t>savings-multiplier-by-age</t>
  </si>
  <si>
    <t>getnetworthcalculator.com</t>
  </si>
  <si>
    <t>Age 35</t>
  </si>
  <si>
    <t>Have 2x annual salary saved (tipping point)</t>
  </si>
  <si>
    <t>Age 40</t>
  </si>
  <si>
    <t>Have 3x annual salary saved</t>
  </si>
  <si>
    <t>Age 45</t>
  </si>
  <si>
    <t>Have 4x annual salary saved</t>
  </si>
  <si>
    <t>Age 50</t>
  </si>
  <si>
    <t>Have 6x annual salary saved</t>
  </si>
  <si>
    <t>Age 55</t>
  </si>
  <si>
    <t>Have 7x annual salary saved</t>
  </si>
  <si>
    <t>Age 60</t>
  </si>
  <si>
    <t>Have 8x annual salary saved</t>
  </si>
  <si>
    <t>Age 67</t>
  </si>
  <si>
    <t>Full retirement baseline target (10x income)</t>
  </si>
  <si>
    <t>🌐 Explore live interactive tools: getnetworthcalculator.com/savings-multiplier-by-age • /wealth-class-calculator • 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</si>
</sst>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164" formatCode="$#,##0"/>
    <numFmt numFmtId="165" formatCode="$#,##0&quot;/mo&quot;"/>
    <numFmt numFmtId="166" formatCode="&quot;+$&quot;#,##0&quot; / Year Back In Checking&quot;"/>
    <numFmt numFmtId="167" formatCode="&quot;+$&quot;#,##0&quot; Created For Retirement&quot;"/>
    <numFmt numFmtId="168" formatCode="$#,##0.00&quot;/hr&quot;"/>
    <numFmt numFmtId="169" formatCode="0.0&quot; Hours at Work&quot;"/>
    <numFmt numFmtId="170" formatCode="+$#,##0;-$#,##0;$0"/>
    <numFmt numFmtId="171" formatCode="+0.0%;-0.0%;0.0%"/>
    <numFmt numFmtId="172" formatCode="0.0%"/>
    <numFmt numFmtId="173" formatCode="&quot;+$&quot;#,##0;&quot;-$&quot;#,##0;&quot;$0&quot;"/>
    <numFmt numFmtId="174" formatCode="0.00&quot;x&quot;"/>
    <numFmt numFmtId="175" formatCode="0.0&quot; Months&quot;"/>
    <numFmt numFmtId="176" formatCode="$#,##0/day"/>
    <numFmt numFmtId="177" formatCode="0.0&quot;x&quot;"/>
  </numFmts>
  <fonts count="46" x14ac:knownFonts="1">
    <font>
      <color theme="1"/>
      <family val="2"/>
      <scheme val="minor"/>
      <sz val="11"/>
      <name val="Calibri"/>
    </font>
    <font>
      <b/>
      <color rgb="FFFFFFFF"/>
      <sz val="12"/>
      <name val="Arial"/>
    </font>
    <font>
      <i/>
      <color rgb="FFCBD5E1"/>
      <sz val="9"/>
      <name val="Arial"/>
    </font>
    <font>
      <b/>
      <color rgb="FFFFFFFF"/>
      <sz val="10"/>
    </font>
    <font>
      <b/>
      <color rgb="FF065F46"/>
    </font>
    <font>
      <b/>
    </font>
    <font>
      <b/>
      <sz val="9"/>
    </font>
    <font>
      <sz val="9"/>
    </font>
    <font>
      <b/>
      <color rgb="FF065F46"/>
      <sz val="9.5"/>
    </font>
    <font>
      <b/>
      <color rgb="FFFFFFFF"/>
      <sz val="11"/>
      <name val="Arial"/>
    </font>
    <font>
      <b/>
      <color rgb="FF94A3B8"/>
      <sz val="9"/>
    </font>
    <font>
      <b/>
      <color rgb="FFFFFFFF"/>
      <sz val="14"/>
    </font>
    <font>
      <b/>
      <color rgb="FF94A3B8"/>
      <sz val="8.5"/>
    </font>
    <font>
      <b/>
      <color rgb="FF10B981"/>
      <sz val="12"/>
    </font>
    <font>
      <b/>
      <color rgb="FFFFFFFF"/>
      <sz val="12"/>
    </font>
    <font>
      <b/>
      <color rgb="FFF59E0B"/>
      <sz val="12"/>
    </font>
    <font>
      <b/>
      <color rgb="FFFFFFFF"/>
      <sz val="10.5"/>
      <name val="Arial"/>
    </font>
    <font>
      <b/>
      <color rgb="FFFFFFFF"/>
      <sz val="8.5"/>
    </font>
    <font>
      <i/>
      <color rgb="FF64748B"/>
      <sz val="8.5"/>
    </font>
    <font>
      <b/>
      <color rgb="FFF43F5E"/>
      <sz val="10"/>
    </font>
    <font>
      <color rgb="FF64748B"/>
      <sz val="8.5"/>
    </font>
    <font>
      <b/>
      <color rgb="FF10B981"/>
      <sz val="8.5"/>
    </font>
    <font>
      <b/>
      <color rgb="FF38BDF8"/>
      <sz val="8.5"/>
    </font>
    <font>
      <b/>
      <color rgb="FF38BDF8"/>
      <sz val="12"/>
    </font>
    <font>
      <b/>
      <color rgb="FFFFFFFF"/>
      <sz val="11"/>
    </font>
    <font>
      <b/>
      <color rgb="FFFFFFFF"/>
      <sz val="9.5"/>
      <name val="Arial"/>
    </font>
    <font>
      <b/>
      <sz val="10"/>
      <name val="Arial"/>
    </font>
    <font>
      <b/>
      <color rgb="FF065F46"/>
      <sz val="10"/>
      <name val="Arial"/>
    </font>
    <font>
      <b/>
      <color rgb="FF10B981"/>
      <sz val="10"/>
      <name val="Arial"/>
    </font>
    <font>
      <b/>
      <color rgb="FFFFFFFF"/>
    </font>
    <font>
      <i/>
      <color rgb="FF94A3B8"/>
      <sz val="9"/>
      <name val="Arial"/>
    </font>
    <font>
      <b/>
      <color rgb="FFFFFFFF"/>
      <sz val="18"/>
    </font>
    <font>
      <b/>
      <color rgb="FF10B981"/>
      <sz val="18"/>
    </font>
    <font>
      <b/>
      <color rgb="FFF59E0B"/>
      <sz val="18"/>
    </font>
    <font>
      <b/>
      <color rgb="FF10B981"/>
      <sz val="9"/>
    </font>
    <font>
      <color rgb="FFCBD5E1"/>
      <sz val="9"/>
    </font>
    <font>
      <b/>
      <color rgb="FFFFFFFF"/>
      <sz val="9"/>
    </font>
    <font>
      <b/>
      <color rgb="FF94A3B8"/>
      <sz val="8"/>
    </font>
    <font>
      <b/>
      <color rgb="FFFFFFFF"/>
      <sz val="13"/>
    </font>
    <font>
      <b/>
      <color rgb="FFFFFFFF"/>
      <sz val="10.5"/>
    </font>
    <font>
      <color rgb="FF475569"/>
      <sz val="8.5"/>
    </font>
    <font>
      <b/>
      <color rgb="FFF59E0B"/>
      <sz val="9"/>
    </font>
    <font>
      <b/>
      <i/>
      <color rgb="FF10B981"/>
      <sz val="9"/>
    </font>
    <font>
      <b/>
      <color rgb="FFFFFFFF"/>
      <sz val="15"/>
    </font>
    <font>
      <i/>
      <color rgb="FF64748B"/>
      <sz val="9"/>
    </font>
    <font>
      <b/>
      <color rgb="FFFFFFFF"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047857"/>
      </patternFill>
    </fill>
    <fill>
      <patternFill patternType="solid">
        <fgColor rgb="FF0F172A"/>
      </patternFill>
    </fill>
    <fill>
      <patternFill patternType="solid">
        <fgColor rgb="FF1E293B"/>
      </patternFill>
    </fill>
    <fill>
      <patternFill patternType="solid">
        <fgColor rgb="FFDCFCE7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6B21A8"/>
      </patternFill>
    </fill>
  </fills>
  <borders count="2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/>
    <xf numFmtId="0" fontId="4" fillId="0" borderId="1" xfId="0" applyFont="1" applyBorder="1"/>
    <xf numFmtId="0" fontId="5" fillId="0" borderId="1" xfId="0" applyFont="1" applyBorder="1"/>
    <xf numFmtId="0" fontId="0" fillId="0" borderId="1" xfId="0" applyBorder="1"/>
    <xf numFmtId="0" fontId="3" fillId="3" borderId="0" xfId="0" applyFont="1" applyFill="1"/>
    <xf numFmtId="0" fontId="6" fillId="0" borderId="1" xfId="0" applyFont="1" applyBorder="1"/>
    <xf numFmtId="0" fontId="7" fillId="0" borderId="1" xfId="0" applyFont="1" applyBorder="1"/>
    <xf numFmtId="0" fontId="8" fillId="5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" fontId="11" fillId="2" borderId="1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64" fontId="14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7" fillId="4" borderId="1" xfId="0" applyFont="1" applyFill="1" applyBorder="1"/>
    <xf numFmtId="164" fontId="6" fillId="5" borderId="1" xfId="0" applyNumberFormat="1" applyFont="1" applyFill="1" applyBorder="1"/>
    <xf numFmtId="0" fontId="18" fillId="0" borderId="1" xfId="0" applyFont="1" applyBorder="1"/>
    <xf numFmtId="165" fontId="19" fillId="0" borderId="1" xfId="0" applyNumberFormat="1" applyFont="1" applyBorder="1"/>
    <xf numFmtId="0" fontId="20" fillId="0" borderId="1" xfId="0" applyFont="1" applyBorder="1"/>
    <xf numFmtId="0" fontId="21" fillId="4" borderId="0" xfId="0" applyFont="1" applyFill="1"/>
    <xf numFmtId="0" fontId="22" fillId="4" borderId="0" xfId="0" applyFont="1" applyFill="1"/>
    <xf numFmtId="166" fontId="13" fillId="4" borderId="0" xfId="0" applyNumberFormat="1" applyFont="1" applyFill="1" applyAlignment="1">
      <alignment vertical="center"/>
    </xf>
    <xf numFmtId="167" fontId="23" fillId="4" borderId="0" xfId="0" applyNumberFormat="1" applyFont="1" applyFill="1" applyAlignment="1">
      <alignment vertical="center"/>
    </xf>
    <xf numFmtId="168" fontId="24" fillId="4" borderId="1" xfId="0" applyNumberFormat="1" applyFont="1" applyFill="1" applyBorder="1"/>
    <xf numFmtId="164" fontId="24" fillId="2" borderId="1" xfId="0" applyNumberFormat="1" applyFont="1" applyFill="1" applyBorder="1"/>
    <xf numFmtId="169" fontId="15" fillId="4" borderId="1" xfId="0" applyNumberFormat="1" applyFont="1" applyFill="1" applyBorder="1"/>
    <xf numFmtId="0" fontId="3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5" fillId="3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/>
    </xf>
    <xf numFmtId="164" fontId="0" fillId="0" borderId="1" xfId="0" applyNumberFormat="1" applyBorder="1"/>
    <xf numFmtId="164" fontId="27" fillId="0" borderId="1" xfId="0" applyNumberFormat="1" applyFont="1" applyBorder="1"/>
    <xf numFmtId="170" fontId="0" fillId="0" borderId="1" xfId="0" applyNumberFormat="1" applyBorder="1"/>
    <xf numFmtId="171" fontId="0" fillId="0" borderId="1" xfId="0" applyNumberFormat="1" applyBorder="1"/>
    <xf numFmtId="164" fontId="28" fillId="0" borderId="1" xfId="0" applyNumberFormat="1" applyFont="1" applyBorder="1"/>
    <xf numFmtId="172" fontId="0" fillId="0" borderId="1" xfId="0" applyNumberFormat="1" applyBorder="1"/>
    <xf numFmtId="0" fontId="26" fillId="6" borderId="1" xfId="0" applyFont="1" applyFill="1" applyBorder="1" applyAlignment="1">
      <alignment horizontal="center"/>
    </xf>
    <xf numFmtId="164" fontId="0" fillId="6" borderId="1" xfId="0" applyNumberFormat="1" applyFill="1" applyBorder="1"/>
    <xf numFmtId="170" fontId="0" fillId="6" borderId="1" xfId="0" applyNumberFormat="1" applyFill="1" applyBorder="1"/>
    <xf numFmtId="171" fontId="0" fillId="6" borderId="1" xfId="0" applyNumberFormat="1" applyFill="1" applyBorder="1"/>
    <xf numFmtId="172" fontId="0" fillId="6" borderId="1" xfId="0" applyNumberFormat="1" applyFill="1" applyBorder="1"/>
    <xf numFmtId="0" fontId="29" fillId="3" borderId="1" xfId="0" applyFont="1" applyFill="1" applyBorder="1"/>
    <xf numFmtId="164" fontId="29" fillId="3" borderId="1" xfId="0" applyNumberFormat="1" applyFont="1" applyFill="1" applyBorder="1"/>
    <xf numFmtId="171" fontId="29" fillId="3" borderId="1" xfId="0" applyNumberFormat="1" applyFont="1" applyFill="1" applyBorder="1"/>
    <xf numFmtId="0" fontId="1" fillId="3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10" fillId="4" borderId="0" xfId="0" applyFont="1" applyFill="1"/>
    <xf numFmtId="164" fontId="31" fillId="4" borderId="0" xfId="0" applyNumberFormat="1" applyFont="1" applyFill="1" applyAlignment="1">
      <alignment vertical="center"/>
    </xf>
    <xf numFmtId="164" fontId="32" fillId="4" borderId="0" xfId="0" applyNumberFormat="1" applyFont="1" applyFill="1" applyAlignment="1">
      <alignment vertical="center"/>
    </xf>
    <xf numFmtId="0" fontId="33" fillId="4" borderId="0" xfId="0" applyFont="1" applyFill="1" applyAlignment="1">
      <alignment vertical="center"/>
    </xf>
    <xf numFmtId="173" fontId="34" fillId="4" borderId="0" xfId="0" applyNumberFormat="1" applyFont="1" applyFill="1"/>
    <xf numFmtId="172" fontId="35" fillId="4" borderId="0" xfId="0" applyNumberFormat="1" applyFont="1" applyFill="1"/>
    <xf numFmtId="0" fontId="35" fillId="4" borderId="0" xfId="0" applyFont="1" applyFill="1"/>
    <xf numFmtId="0" fontId="24" fillId="3" borderId="0" xfId="0" applyFont="1" applyFill="1"/>
    <xf numFmtId="0" fontId="36" fillId="4" borderId="1" xfId="0" applyFont="1" applyFill="1" applyBorder="1"/>
    <xf numFmtId="0" fontId="0" fillId="6" borderId="1" xfId="0" applyFill="1" applyBorder="1"/>
    <xf numFmtId="0" fontId="37" fillId="4" borderId="0" xfId="0" applyFont="1" applyFill="1"/>
    <xf numFmtId="0" fontId="38" fillId="4" borderId="0" xfId="0" applyFont="1" applyFill="1"/>
    <xf numFmtId="0" fontId="39" fillId="2" borderId="0" xfId="0" applyFont="1" applyFill="1"/>
    <xf numFmtId="0" fontId="37" fillId="4" borderId="1" xfId="0" applyFont="1" applyFill="1" applyBorder="1"/>
    <xf numFmtId="0" fontId="14" fillId="2" borderId="1" xfId="0" applyFont="1" applyFill="1" applyBorder="1" applyAlignment="1">
      <alignment horizontal="center" vertical="center"/>
    </xf>
    <xf numFmtId="164" fontId="14" fillId="2" borderId="1" xfId="0" applyNumberFormat="1" applyFont="1" applyFill="1" applyBorder="1" applyAlignment="1">
      <alignment horizontal="center" vertical="center"/>
    </xf>
    <xf numFmtId="174" fontId="1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9" fillId="3" borderId="0" xfId="0" applyFont="1" applyFill="1"/>
    <xf numFmtId="164" fontId="6" fillId="0" borderId="1" xfId="0" applyNumberFormat="1" applyFont="1" applyBorder="1"/>
    <xf numFmtId="172" fontId="34" fillId="0" borderId="1" xfId="0" applyNumberFormat="1" applyFont="1" applyBorder="1"/>
    <xf numFmtId="0" fontId="40" fillId="0" borderId="1" xfId="0" applyFont="1" applyBorder="1"/>
    <xf numFmtId="0" fontId="6" fillId="6" borderId="1" xfId="0" applyFont="1" applyFill="1" applyBorder="1"/>
    <xf numFmtId="164" fontId="6" fillId="6" borderId="1" xfId="0" applyNumberFormat="1" applyFont="1" applyFill="1" applyBorder="1"/>
    <xf numFmtId="172" fontId="34" fillId="6" borderId="1" xfId="0" applyNumberFormat="1" applyFont="1" applyFill="1" applyBorder="1"/>
    <xf numFmtId="0" fontId="40" fillId="6" borderId="1" xfId="0" applyFont="1" applyFill="1" applyBorder="1"/>
    <xf numFmtId="164" fontId="14" fillId="4" borderId="1" xfId="0" applyNumberFormat="1" applyFont="1" applyFill="1" applyBorder="1"/>
    <xf numFmtId="175" fontId="13" fillId="4" borderId="1" xfId="0" applyNumberFormat="1" applyFont="1" applyFill="1" applyBorder="1"/>
    <xf numFmtId="172" fontId="14" fillId="4" borderId="1" xfId="0" applyNumberFormat="1" applyFont="1" applyFill="1" applyBorder="1"/>
    <xf numFmtId="0" fontId="41" fillId="4" borderId="1" xfId="0" applyFont="1" applyFill="1" applyBorder="1" applyAlignment="1">
      <alignment horizontal="center" vertical="center"/>
    </xf>
    <xf numFmtId="0" fontId="42" fillId="3" borderId="0" xfId="0" applyFont="1" applyFill="1" applyAlignment="1">
      <alignment horizontal="center" vertical="center"/>
    </xf>
    <xf numFmtId="0" fontId="34" fillId="4" borderId="0" xfId="0" applyFont="1" applyFill="1"/>
    <xf numFmtId="164" fontId="32" fillId="4" borderId="0" xfId="0" applyNumberFormat="1" applyFont="1" applyFill="1"/>
    <xf numFmtId="176" fontId="43" fillId="4" borderId="0" xfId="0" applyNumberFormat="1" applyFont="1" applyFill="1"/>
    <xf numFmtId="0" fontId="36" fillId="3" borderId="1" xfId="0" applyFont="1" applyFill="1" applyBorder="1"/>
    <xf numFmtId="0" fontId="3" fillId="2" borderId="0" xfId="0" applyFont="1" applyFill="1"/>
    <xf numFmtId="0" fontId="29" fillId="4" borderId="1" xfId="0" applyFont="1" applyFill="1" applyBorder="1"/>
    <xf numFmtId="164" fontId="29" fillId="4" borderId="1" xfId="0" applyNumberFormat="1" applyFont="1" applyFill="1" applyBorder="1"/>
    <xf numFmtId="0" fontId="3" fillId="7" borderId="0" xfId="0" applyFont="1" applyFill="1"/>
    <xf numFmtId="0" fontId="29" fillId="7" borderId="1" xfId="0" applyFont="1" applyFill="1" applyBorder="1"/>
    <xf numFmtId="164" fontId="29" fillId="7" borderId="1" xfId="0" applyNumberFormat="1" applyFont="1" applyFill="1" applyBorder="1"/>
    <xf numFmtId="172" fontId="29" fillId="7" borderId="1" xfId="0" applyNumberFormat="1" applyFont="1" applyFill="1" applyBorder="1"/>
    <xf numFmtId="0" fontId="3" fillId="8" borderId="0" xfId="0" applyFont="1" applyFill="1"/>
    <xf numFmtId="0" fontId="29" fillId="8" borderId="1" xfId="0" applyFont="1" applyFill="1" applyBorder="1"/>
    <xf numFmtId="164" fontId="29" fillId="8" borderId="1" xfId="0" applyNumberFormat="1" applyFont="1" applyFill="1" applyBorder="1"/>
    <xf numFmtId="172" fontId="29" fillId="8" borderId="1" xfId="0" applyNumberFormat="1" applyFont="1" applyFill="1" applyBorder="1"/>
    <xf numFmtId="0" fontId="29" fillId="2" borderId="1" xfId="0" applyFont="1" applyFill="1" applyBorder="1"/>
    <xf numFmtId="164" fontId="29" fillId="2" borderId="1" xfId="0" applyNumberFormat="1" applyFont="1" applyFill="1" applyBorder="1"/>
    <xf numFmtId="172" fontId="29" fillId="2" borderId="1" xfId="0" applyNumberFormat="1" applyFont="1" applyFill="1" applyBorder="1"/>
    <xf numFmtId="172" fontId="29" fillId="3" borderId="1" xfId="0" applyNumberFormat="1" applyFont="1" applyFill="1" applyBorder="1"/>
    <xf numFmtId="0" fontId="9" fillId="3" borderId="0" xfId="0" applyFont="1" applyFill="1" applyAlignment="1">
      <alignment horizontal="center" vertical="center"/>
    </xf>
    <xf numFmtId="1" fontId="5" fillId="0" borderId="1" xfId="0" applyNumberFormat="1" applyFont="1" applyBorder="1"/>
    <xf numFmtId="164" fontId="5" fillId="0" borderId="1" xfId="0" applyNumberFormat="1" applyFont="1" applyBorder="1"/>
    <xf numFmtId="172" fontId="5" fillId="0" borderId="1" xfId="0" applyNumberFormat="1" applyFont="1" applyBorder="1"/>
    <xf numFmtId="0" fontId="44" fillId="0" borderId="1" xfId="0" applyFont="1" applyBorder="1"/>
    <xf numFmtId="10" fontId="0" fillId="0" borderId="1" xfId="0" applyNumberFormat="1" applyBorder="1"/>
    <xf numFmtId="10" fontId="29" fillId="4" borderId="1" xfId="0" applyNumberFormat="1" applyFont="1" applyFill="1" applyBorder="1"/>
    <xf numFmtId="0" fontId="45" fillId="2" borderId="0" xfId="0" applyFont="1" applyFill="1"/>
    <xf numFmtId="0" fontId="45" fillId="3" borderId="0" xfId="0" applyFont="1" applyFill="1"/>
    <xf numFmtId="177" fontId="0" fillId="0" borderId="1" xfId="0" applyNumberFormat="1" applyBorder="1"/>
    <xf numFmtId="177" fontId="0" fillId="6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51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3" width="34" customWidth="1"/>
    <col min="4" max="4" width="30" customWidth="1"/>
    <col min="5" max="5" width="4" customWidth="1"/>
  </cols>
  <sheetData>
    <row r="2" ht="30" customHeight="1" spans="2:4" x14ac:dyDescent="0.25">
      <c r="B2" s="1" t="s">
        <v>0</v>
      </c>
      <c r="C2" s="1"/>
      <c r="D2" s="1"/>
    </row>
    <row r="3" ht="20" customHeight="1" spans="2:4" x14ac:dyDescent="0.25">
      <c r="B3" s="2" t="s">
        <v>1</v>
      </c>
      <c r="C3" s="2"/>
      <c r="D3" s="2"/>
    </row>
    <row r="5" ht="22" customHeight="1" spans="2:4" x14ac:dyDescent="0.25">
      <c r="B5" s="3" t="s">
        <v>2</v>
      </c>
      <c r="C5" s="3"/>
      <c r="D5" s="3"/>
    </row>
    <row r="6" ht="22" customHeight="1" spans="2:4" x14ac:dyDescent="0.25">
      <c r="B6" s="4" t="s">
        <v>3</v>
      </c>
      <c r="C6" s="5" t="s">
        <v>4</v>
      </c>
      <c r="D6" s="6" t="s">
        <v>5</v>
      </c>
    </row>
    <row r="7" ht="22" customHeight="1" spans="2:4" x14ac:dyDescent="0.25">
      <c r="B7" s="4" t="s">
        <v>6</v>
      </c>
      <c r="C7" s="5" t="s">
        <v>7</v>
      </c>
      <c r="D7" s="6" t="s">
        <v>8</v>
      </c>
    </row>
    <row r="8" ht="22" customHeight="1" spans="2:4" x14ac:dyDescent="0.25">
      <c r="B8" s="4" t="s">
        <v>9</v>
      </c>
      <c r="C8" s="5" t="s">
        <v>10</v>
      </c>
      <c r="D8" s="6" t="s">
        <v>11</v>
      </c>
    </row>
    <row r="10" ht="22" customHeight="1" spans="2:4" x14ac:dyDescent="0.25">
      <c r="B10" s="3" t="s">
        <v>12</v>
      </c>
      <c r="C10" s="3"/>
      <c r="D10" s="3"/>
    </row>
    <row r="11" ht="22" customHeight="1" spans="2:4" x14ac:dyDescent="0.25">
      <c r="B11" s="5" t="s">
        <v>13</v>
      </c>
      <c r="C11" s="5" t="s">
        <v>14</v>
      </c>
      <c r="D11" s="6" t="s">
        <v>15</v>
      </c>
    </row>
    <row r="12" ht="22" customHeight="1" spans="2:4" x14ac:dyDescent="0.25">
      <c r="B12" s="5" t="s">
        <v>16</v>
      </c>
      <c r="C12" s="5" t="s">
        <v>17</v>
      </c>
      <c r="D12" s="6" t="s">
        <v>18</v>
      </c>
    </row>
    <row r="13" ht="22" customHeight="1" spans="2:4" x14ac:dyDescent="0.25">
      <c r="B13" s="5" t="s">
        <v>19</v>
      </c>
      <c r="C13" s="5" t="s">
        <v>20</v>
      </c>
      <c r="D13" s="6" t="s">
        <v>21</v>
      </c>
    </row>
    <row r="15" ht="22" customHeight="1" spans="2:4" x14ac:dyDescent="0.25">
      <c r="B15" s="7" t="s">
        <v>22</v>
      </c>
      <c r="C15" s="7"/>
      <c r="D15" s="7"/>
    </row>
    <row r="16" ht="20" customHeight="1" spans="2:4" x14ac:dyDescent="0.25">
      <c r="B16" s="8" t="s">
        <v>23</v>
      </c>
      <c r="C16" s="9" t="s">
        <v>24</v>
      </c>
      <c r="D16" s="9"/>
    </row>
    <row r="17" ht="20" customHeight="1" spans="2:4" x14ac:dyDescent="0.25">
      <c r="B17" s="8" t="s">
        <v>25</v>
      </c>
      <c r="C17" s="9" t="s">
        <v>26</v>
      </c>
      <c r="D17" s="9"/>
    </row>
    <row r="18" ht="20" customHeight="1" spans="2:4" x14ac:dyDescent="0.25">
      <c r="B18" s="8" t="s">
        <v>27</v>
      </c>
      <c r="C18" s="9" t="s">
        <v>28</v>
      </c>
      <c r="D18" s="9"/>
    </row>
    <row r="19" ht="20" customHeight="1" spans="2:4" x14ac:dyDescent="0.25">
      <c r="B19" s="8" t="s">
        <v>29</v>
      </c>
      <c r="C19" s="9" t="s">
        <v>30</v>
      </c>
      <c r="D19" s="9"/>
    </row>
    <row r="20" ht="20" customHeight="1" spans="2:4" x14ac:dyDescent="0.25">
      <c r="B20" s="8" t="s">
        <v>31</v>
      </c>
      <c r="C20" s="9" t="s">
        <v>32</v>
      </c>
      <c r="D20" s="9"/>
    </row>
    <row r="21" ht="20" customHeight="1" spans="2:4" x14ac:dyDescent="0.25">
      <c r="B21" s="8" t="s">
        <v>33</v>
      </c>
      <c r="C21" s="9" t="s">
        <v>34</v>
      </c>
      <c r="D21" s="9"/>
    </row>
    <row r="22" ht="20" customHeight="1" spans="2:4" x14ac:dyDescent="0.25">
      <c r="B22" s="8" t="s">
        <v>35</v>
      </c>
      <c r="C22" s="9" t="s">
        <v>36</v>
      </c>
      <c r="D22" s="9"/>
    </row>
    <row r="24" ht="26" customHeight="1" spans="2:4" x14ac:dyDescent="0.25">
      <c r="B24" s="10" t="s">
        <v>37</v>
      </c>
      <c r="C24" s="10"/>
      <c r="D24" s="10"/>
    </row>
    <row r="26" ht="26" customHeight="1" spans="2:4" x14ac:dyDescent="0.25">
      <c r="B26" s="11" t="s">
        <v>38</v>
      </c>
      <c r="C26" s="11"/>
      <c r="D26" s="11"/>
    </row>
    <row r="27" ht="20" customHeight="1" spans="2:4" x14ac:dyDescent="0.25">
      <c r="B27" s="2" t="s">
        <v>39</v>
      </c>
      <c r="C27" s="2"/>
      <c r="D27" s="2"/>
    </row>
    <row r="29" ht="20" customHeight="1" spans="2:4" x14ac:dyDescent="0.25">
      <c r="B29" s="12" t="s">
        <v>40</v>
      </c>
      <c r="C29" s="12" t="s">
        <v>41</v>
      </c>
      <c r="D29" s="12" t="s">
        <v>42</v>
      </c>
    </row>
    <row r="30" ht="26" customHeight="1" spans="2:4" x14ac:dyDescent="0.25">
      <c r="B30" s="13">
        <v>30</v>
      </c>
      <c r="C30" s="14">
        <v>95000</v>
      </c>
      <c r="D30" s="14">
        <v>85000</v>
      </c>
    </row>
    <row r="32" ht="18" customHeight="1" spans="2:4" x14ac:dyDescent="0.25">
      <c r="B32" s="15" t="s">
        <v>43</v>
      </c>
      <c r="C32" s="15" t="s">
        <v>44</v>
      </c>
      <c r="D32" s="15" t="s">
        <v>45</v>
      </c>
    </row>
    <row r="33" ht="26" customHeight="1" spans="2:4" x14ac:dyDescent="0.25">
      <c r="B33" s="16">
        <f>IF(D30&gt;=2*(B30*C30/10), "PAW (Top 10% Wealth Builder)", IF(D30&gt;=(B30*C30/10), "AAW (Solid Average)", "UAW (Under-Accumulator)"))</f>
      </c>
      <c r="C33" s="17">
        <f>(B30*C30)/10</f>
      </c>
      <c r="D33" s="18">
        <f>IF(D30&lt;100000, "$100k Club", IF(D30&lt;250000, "$250k Club", IF(D30&lt;500000, "$500k Club", "$1M Two-Comma Club")))</f>
      </c>
    </row>
    <row r="36" ht="24" customHeight="1" spans="2:4" x14ac:dyDescent="0.25">
      <c r="B36" s="19" t="s">
        <v>46</v>
      </c>
      <c r="C36" s="19"/>
      <c r="D36" s="19"/>
    </row>
    <row r="37" ht="19" customHeight="1" spans="2:4" x14ac:dyDescent="0.25">
      <c r="B37" s="20" t="s">
        <v>47</v>
      </c>
      <c r="C37" s="20" t="s">
        <v>48</v>
      </c>
      <c r="D37" s="20" t="s">
        <v>49</v>
      </c>
    </row>
    <row r="38" ht="19" customHeight="1" spans="2:4" x14ac:dyDescent="0.25">
      <c r="B38" s="9" t="s">
        <v>50</v>
      </c>
      <c r="C38" s="21">
        <v>35</v>
      </c>
      <c r="D38" s="22" t="s">
        <v>51</v>
      </c>
    </row>
    <row r="39" ht="19" customHeight="1" spans="2:4" x14ac:dyDescent="0.25">
      <c r="B39" s="9" t="s">
        <v>52</v>
      </c>
      <c r="C39" s="21">
        <v>45</v>
      </c>
      <c r="D39" s="22" t="s">
        <v>53</v>
      </c>
    </row>
    <row r="40" ht="19" customHeight="1" spans="2:4" x14ac:dyDescent="0.25">
      <c r="B40" s="9" t="s">
        <v>54</v>
      </c>
      <c r="C40" s="21">
        <v>75</v>
      </c>
      <c r="D40" s="22" t="s">
        <v>55</v>
      </c>
    </row>
    <row r="41" ht="19" customHeight="1" spans="2:4" x14ac:dyDescent="0.25">
      <c r="B41" s="9" t="s">
        <v>56</v>
      </c>
      <c r="C41" s="21">
        <v>40</v>
      </c>
      <c r="D41" s="22" t="s">
        <v>57</v>
      </c>
    </row>
    <row r="42" ht="22" customHeight="1" spans="2:4" x14ac:dyDescent="0.25">
      <c r="B42" s="8" t="s">
        <v>58</v>
      </c>
      <c r="C42" s="23">
        <f>SUM(C38:C41)</f>
      </c>
      <c r="D42" s="24" t="s">
        <v>59</v>
      </c>
    </row>
    <row r="44" ht="18" customHeight="1" spans="2:4" x14ac:dyDescent="0.25">
      <c r="B44" s="25" t="s">
        <v>60</v>
      </c>
      <c r="C44" s="25"/>
      <c r="D44" s="26" t="s">
        <v>61</v>
      </c>
    </row>
    <row r="45" ht="26" customHeight="1" spans="2:4" x14ac:dyDescent="0.25">
      <c r="B45" s="27">
        <f>C42*12</f>
      </c>
      <c r="C45" s="27"/>
      <c r="D45" s="28">
        <f>C42*182.946</f>
      </c>
    </row>
    <row r="47" ht="24" customHeight="1" spans="2:4" x14ac:dyDescent="0.25">
      <c r="B47" s="19" t="s">
        <v>62</v>
      </c>
      <c r="C47" s="19"/>
      <c r="D47" s="19"/>
    </row>
    <row r="48" ht="19" customHeight="1" spans="2:4" x14ac:dyDescent="0.25">
      <c r="B48" s="20" t="s">
        <v>63</v>
      </c>
      <c r="C48" s="20" t="s">
        <v>64</v>
      </c>
      <c r="D48" s="20" t="s">
        <v>65</v>
      </c>
    </row>
    <row r="49" ht="24" customHeight="1" spans="2:4" x14ac:dyDescent="0.25">
      <c r="B49" s="29">
        <f>C30/2080</f>
      </c>
      <c r="C49" s="30">
        <v>1200</v>
      </c>
      <c r="D49" s="31">
        <f>C49/B49</f>
      </c>
    </row>
    <row r="51" ht="30" customHeight="1" spans="2:4" x14ac:dyDescent="0.25">
      <c r="B51" s="32" t="s">
        <v>66</v>
      </c>
      <c r="C51" s="32"/>
      <c r="D51" s="32"/>
    </row>
  </sheetData>
  <mergeCells count="20">
    <mergeCell ref="B2:D2"/>
    <mergeCell ref="B3:D3"/>
    <mergeCell ref="B5:D5"/>
    <mergeCell ref="B10:D10"/>
    <mergeCell ref="B15:D15"/>
    <mergeCell ref="C16:D16"/>
    <mergeCell ref="C17:D17"/>
    <mergeCell ref="C18:D18"/>
    <mergeCell ref="C19:D19"/>
    <mergeCell ref="C20:D20"/>
    <mergeCell ref="C21:D21"/>
    <mergeCell ref="C22:D22"/>
    <mergeCell ref="B24:D24"/>
    <mergeCell ref="B26:D26"/>
    <mergeCell ref="B27:D27"/>
    <mergeCell ref="B36:D36"/>
    <mergeCell ref="B44:C44"/>
    <mergeCell ref="B45:C45"/>
    <mergeCell ref="B47:D47"/>
    <mergeCell ref="B51:D5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8"/>
  <sheetViews>
    <sheetView workbookViewId="0"/>
  </sheetViews>
  <sheetFormatPr defaultRowHeight="15" outlineLevelRow="0" outlineLevelCol="0" x14ac:dyDescent="55"/>
  <cols>
    <col min="1" max="1" width="4" customWidth="1"/>
    <col min="2" max="2" width="16" customWidth="1"/>
    <col min="3" max="3" width="18" customWidth="1"/>
    <col min="4" max="4" width="22" customWidth="1"/>
    <col min="5" max="5" width="20" customWidth="1"/>
    <col min="6" max="6" width="18" customWidth="1"/>
    <col min="7" max="7" width="20" customWidth="1"/>
    <col min="8" max="9" width="16" customWidth="1"/>
    <col min="10" max="10" width="20" customWidth="1"/>
    <col min="11" max="11" width="16" customWidth="1"/>
    <col min="12" max="12" width="4" customWidth="1"/>
  </cols>
  <sheetData>
    <row r="2" ht="28" customHeight="1" spans="2:11" x14ac:dyDescent="0.25">
      <c r="B2" s="1" t="s">
        <v>67</v>
      </c>
      <c r="C2" s="1"/>
      <c r="D2" s="1"/>
      <c r="E2" s="1"/>
      <c r="F2" s="1"/>
      <c r="G2" s="1"/>
      <c r="H2" s="1"/>
      <c r="I2" s="1"/>
      <c r="J2" s="1"/>
      <c r="K2" s="1"/>
    </row>
    <row r="3" ht="20" customHeight="1" spans="2:11" x14ac:dyDescent="0.25">
      <c r="B3" s="33" t="s">
        <v>68</v>
      </c>
      <c r="C3" s="33"/>
      <c r="D3" s="33"/>
      <c r="E3" s="33"/>
      <c r="F3" s="33"/>
      <c r="G3" s="33"/>
      <c r="H3" s="33"/>
      <c r="I3" s="33"/>
      <c r="J3" s="33"/>
      <c r="K3" s="33"/>
    </row>
    <row r="5" ht="24" customHeight="1" spans="2:11" x14ac:dyDescent="0.25">
      <c r="B5" s="34" t="s">
        <v>69</v>
      </c>
      <c r="C5" s="35" t="s">
        <v>70</v>
      </c>
      <c r="D5" s="35" t="s">
        <v>71</v>
      </c>
      <c r="E5" s="35" t="s">
        <v>72</v>
      </c>
      <c r="F5" s="35" t="s">
        <v>73</v>
      </c>
      <c r="G5" s="34" t="s">
        <v>74</v>
      </c>
      <c r="H5" s="34" t="s">
        <v>75</v>
      </c>
      <c r="I5" s="34" t="s">
        <v>76</v>
      </c>
      <c r="J5" s="34" t="s">
        <v>77</v>
      </c>
      <c r="K5" s="34" t="s">
        <v>78</v>
      </c>
    </row>
    <row r="6" ht="20" customHeight="1" spans="2:11" x14ac:dyDescent="0.25">
      <c r="B6" s="36" t="s">
        <v>79</v>
      </c>
      <c r="C6" s="37">
        <v>25000</v>
      </c>
      <c r="D6" s="37">
        <v>185000</v>
      </c>
      <c r="E6" s="37">
        <v>350000</v>
      </c>
      <c r="F6" s="37">
        <v>245000</v>
      </c>
      <c r="G6" s="38">
        <f>(C6+D6+E6)-F6</f>
      </c>
      <c r="H6" s="39">
        <v>0</v>
      </c>
      <c r="I6" s="40">
        <v>0</v>
      </c>
      <c r="J6" s="41">
        <f>C6+D6</f>
      </c>
      <c r="K6" s="42">
        <f>(C6+D6)/G6</f>
      </c>
    </row>
    <row r="7" ht="20" customHeight="1" spans="2:11" x14ac:dyDescent="0.25">
      <c r="B7" s="43" t="s">
        <v>80</v>
      </c>
      <c r="C7" s="44">
        <v>26200</v>
      </c>
      <c r="D7" s="44">
        <v>189500</v>
      </c>
      <c r="E7" s="44">
        <v>350000</v>
      </c>
      <c r="F7" s="44">
        <v>243800</v>
      </c>
      <c r="G7" s="38">
        <f>(C7+D7+E7)-F7</f>
      </c>
      <c r="H7" s="45">
        <f>G7-G6</f>
      </c>
      <c r="I7" s="46">
        <f>(G7-G6)/G6</f>
      </c>
      <c r="J7" s="41">
        <f>C7+D7</f>
      </c>
      <c r="K7" s="47">
        <f>(C7+D7)/G7</f>
      </c>
    </row>
    <row r="8" ht="20" customHeight="1" spans="2:11" x14ac:dyDescent="0.25">
      <c r="B8" s="36" t="s">
        <v>81</v>
      </c>
      <c r="C8" s="37">
        <v>25800</v>
      </c>
      <c r="D8" s="37">
        <v>194200</v>
      </c>
      <c r="E8" s="37">
        <v>350000</v>
      </c>
      <c r="F8" s="37">
        <v>242600</v>
      </c>
      <c r="G8" s="38">
        <f>(C8+D8+E8)-F8</f>
      </c>
      <c r="H8" s="39">
        <f>G8-G7</f>
      </c>
      <c r="I8" s="40">
        <f>(G8-G7)/G7</f>
      </c>
      <c r="J8" s="41">
        <f>C8+D8</f>
      </c>
      <c r="K8" s="42">
        <f>(C8+D8)/G8</f>
      </c>
    </row>
    <row r="9" ht="20" customHeight="1" spans="2:11" x14ac:dyDescent="0.25">
      <c r="B9" s="43" t="s">
        <v>82</v>
      </c>
      <c r="C9" s="44">
        <v>27100</v>
      </c>
      <c r="D9" s="44">
        <v>191000</v>
      </c>
      <c r="E9" s="44">
        <v>350000</v>
      </c>
      <c r="F9" s="44">
        <v>241400</v>
      </c>
      <c r="G9" s="38">
        <f>(C9+D9+E9)-F9</f>
      </c>
      <c r="H9" s="45">
        <f>G9-G8</f>
      </c>
      <c r="I9" s="46">
        <f>(G9-G8)/G8</f>
      </c>
      <c r="J9" s="41">
        <f>C9+D9</f>
      </c>
      <c r="K9" s="47">
        <f>(C9+D9)/G9</f>
      </c>
    </row>
    <row r="10" ht="20" customHeight="1" spans="2:11" x14ac:dyDescent="0.25">
      <c r="B10" s="36" t="s">
        <v>83</v>
      </c>
      <c r="C10" s="37">
        <v>26900</v>
      </c>
      <c r="D10" s="37">
        <v>198500</v>
      </c>
      <c r="E10" s="37">
        <v>352000</v>
      </c>
      <c r="F10" s="37">
        <v>240100</v>
      </c>
      <c r="G10" s="38">
        <f>(C10+D10+E10)-F10</f>
      </c>
      <c r="H10" s="39">
        <f>G10-G9</f>
      </c>
      <c r="I10" s="40">
        <f>(G10-G9)/G9</f>
      </c>
      <c r="J10" s="41">
        <f>C10+D10</f>
      </c>
      <c r="K10" s="42">
        <f>(C10+D10)/G10</f>
      </c>
    </row>
    <row r="11" ht="20" customHeight="1" spans="2:11" x14ac:dyDescent="0.25">
      <c r="B11" s="43" t="s">
        <v>84</v>
      </c>
      <c r="C11" s="44">
        <v>28400</v>
      </c>
      <c r="D11" s="44">
        <v>204000</v>
      </c>
      <c r="E11" s="44">
        <v>352000</v>
      </c>
      <c r="F11" s="44">
        <v>238800</v>
      </c>
      <c r="G11" s="38">
        <f>(C11+D11+E11)-F11</f>
      </c>
      <c r="H11" s="45">
        <f>G11-G10</f>
      </c>
      <c r="I11" s="46">
        <f>(G11-G10)/G10</f>
      </c>
      <c r="J11" s="41">
        <f>C11+D11</f>
      </c>
      <c r="K11" s="47">
        <f>(C11+D11)/G11</f>
      </c>
    </row>
    <row r="12" ht="20" customHeight="1" spans="2:11" x14ac:dyDescent="0.25">
      <c r="B12" s="36" t="s">
        <v>85</v>
      </c>
      <c r="C12" s="37">
        <v>29000</v>
      </c>
      <c r="D12" s="37">
        <v>209500</v>
      </c>
      <c r="E12" s="37">
        <v>352000</v>
      </c>
      <c r="F12" s="37">
        <v>237500</v>
      </c>
      <c r="G12" s="38">
        <f>(C12+D12+E12)-F12</f>
      </c>
      <c r="H12" s="39">
        <f>G12-G11</f>
      </c>
      <c r="I12" s="40">
        <f>(G12-G11)/G11</f>
      </c>
      <c r="J12" s="41">
        <f>C12+D12</f>
      </c>
      <c r="K12" s="42">
        <f>(C12+D12)/G12</f>
      </c>
    </row>
    <row r="13" ht="20" customHeight="1" spans="2:11" x14ac:dyDescent="0.25">
      <c r="B13" s="43" t="s">
        <v>86</v>
      </c>
      <c r="C13" s="44">
        <v>28500</v>
      </c>
      <c r="D13" s="44">
        <v>215000</v>
      </c>
      <c r="E13" s="44">
        <v>355000</v>
      </c>
      <c r="F13" s="44">
        <v>236100</v>
      </c>
      <c r="G13" s="38">
        <f>(C13+D13+E13)-F13</f>
      </c>
      <c r="H13" s="45">
        <f>G13-G12</f>
      </c>
      <c r="I13" s="46">
        <f>(G13-G12)/G12</f>
      </c>
      <c r="J13" s="41">
        <f>C13+D13</f>
      </c>
      <c r="K13" s="47">
        <f>(C13+D13)/G13</f>
      </c>
    </row>
    <row r="14" ht="20" customHeight="1" spans="2:11" x14ac:dyDescent="0.25">
      <c r="B14" s="36" t="s">
        <v>87</v>
      </c>
      <c r="C14" s="37">
        <v>30200</v>
      </c>
      <c r="D14" s="37">
        <v>221000</v>
      </c>
      <c r="E14" s="37">
        <v>355000</v>
      </c>
      <c r="F14" s="37">
        <v>234700</v>
      </c>
      <c r="G14" s="38">
        <f>(C14+D14+E14)-F14</f>
      </c>
      <c r="H14" s="39">
        <f>G14-G13</f>
      </c>
      <c r="I14" s="40">
        <f>(G14-G13)/G13</f>
      </c>
      <c r="J14" s="41">
        <f>C14+D14</f>
      </c>
      <c r="K14" s="42">
        <f>(C14+D14)/G14</f>
      </c>
    </row>
    <row r="15" ht="20" customHeight="1" spans="2:11" x14ac:dyDescent="0.25">
      <c r="B15" s="43" t="s">
        <v>88</v>
      </c>
      <c r="C15" s="44">
        <v>31000</v>
      </c>
      <c r="D15" s="44">
        <v>228000</v>
      </c>
      <c r="E15" s="44">
        <v>355000</v>
      </c>
      <c r="F15" s="44">
        <v>233200</v>
      </c>
      <c r="G15" s="38">
        <f>(C15+D15+E15)-F15</f>
      </c>
      <c r="H15" s="45">
        <f>G15-G14</f>
      </c>
      <c r="I15" s="46">
        <f>(G15-G14)/G14</f>
      </c>
      <c r="J15" s="41">
        <f>C15+D15</f>
      </c>
      <c r="K15" s="47">
        <f>(C15+D15)/G15</f>
      </c>
    </row>
    <row r="16" ht="20" customHeight="1" spans="2:11" x14ac:dyDescent="0.25">
      <c r="B16" s="36" t="s">
        <v>89</v>
      </c>
      <c r="C16" s="37">
        <v>31500</v>
      </c>
      <c r="D16" s="37">
        <v>234500</v>
      </c>
      <c r="E16" s="37">
        <v>358000</v>
      </c>
      <c r="F16" s="37">
        <v>231700</v>
      </c>
      <c r="G16" s="38">
        <f>(C16+D16+E16)-F16</f>
      </c>
      <c r="H16" s="39">
        <f>G16-G15</f>
      </c>
      <c r="I16" s="40">
        <f>(G16-G15)/G15</f>
      </c>
      <c r="J16" s="41">
        <f>C16+D16</f>
      </c>
      <c r="K16" s="42">
        <f>(C16+D16)/G16</f>
      </c>
    </row>
    <row r="17" ht="20" customHeight="1" spans="2:11" x14ac:dyDescent="0.25">
      <c r="B17" s="43" t="s">
        <v>90</v>
      </c>
      <c r="C17" s="44">
        <v>33000</v>
      </c>
      <c r="D17" s="44">
        <v>242000</v>
      </c>
      <c r="E17" s="44">
        <v>358000</v>
      </c>
      <c r="F17" s="44">
        <v>230100</v>
      </c>
      <c r="G17" s="38">
        <f>(C17+D17+E17)-F17</f>
      </c>
      <c r="H17" s="45">
        <f>G17-G16</f>
      </c>
      <c r="I17" s="46">
        <f>(G17-G16)/G16</f>
      </c>
      <c r="J17" s="41">
        <f>C17+D17</f>
      </c>
      <c r="K17" s="47">
        <f>(C17+D17)/G17</f>
      </c>
    </row>
    <row r="18" ht="22" customHeight="1" spans="2:11" x14ac:dyDescent="0.25">
      <c r="B18" s="48" t="s">
        <v>91</v>
      </c>
      <c r="C18" s="49">
        <f>C17</f>
      </c>
      <c r="D18" s="49">
        <f>D17</f>
      </c>
      <c r="E18" s="49">
        <f>E17</f>
      </c>
      <c r="F18" s="49">
        <f>F17</f>
      </c>
      <c r="G18" s="49">
        <f>G17</f>
      </c>
      <c r="H18" s="49">
        <f>G17-G6</f>
      </c>
      <c r="I18" s="50">
        <f>(G17-G6)/G6</f>
      </c>
      <c r="J18" s="49">
        <f>C17+D17</f>
      </c>
      <c r="K18" s="50">
        <f>(C17+D17)/G17</f>
      </c>
    </row>
  </sheetData>
  <mergeCells count="2">
    <mergeCell ref="B2:K2"/>
    <mergeCell ref="B3:K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7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5" width="20" customWidth="1"/>
    <col min="6" max="6" width="22" customWidth="1"/>
    <col min="7" max="7" width="4" customWidth="1"/>
  </cols>
  <sheetData>
    <row r="2" ht="30" customHeight="1" spans="2:6" x14ac:dyDescent="0.25">
      <c r="B2" s="51" t="s">
        <v>92</v>
      </c>
      <c r="C2" s="51"/>
      <c r="D2" s="51"/>
      <c r="E2" s="51"/>
      <c r="F2" s="51"/>
    </row>
    <row r="3" ht="18" customHeight="1" spans="2:6" x14ac:dyDescent="0.25">
      <c r="B3" s="52" t="s">
        <v>93</v>
      </c>
      <c r="C3" s="52"/>
      <c r="D3" s="52"/>
      <c r="E3" s="52"/>
      <c r="F3" s="52"/>
    </row>
    <row r="5" ht="18" customHeight="1" spans="2:6" x14ac:dyDescent="0.25">
      <c r="B5" s="53" t="s">
        <v>94</v>
      </c>
      <c r="C5" s="53"/>
      <c r="D5" s="53" t="s">
        <v>95</v>
      </c>
      <c r="E5" s="53"/>
      <c r="F5" s="53" t="s">
        <v>96</v>
      </c>
    </row>
    <row r="6" ht="28" customHeight="1" spans="2:6" x14ac:dyDescent="0.25">
      <c r="B6" s="54">
        <f>'2-Min Check-In'!G18</f>
      </c>
      <c r="C6" s="54"/>
      <c r="D6" s="55">
        <f>'2-Min Check-In'!C18+'2-Min Check-In'!D18</f>
      </c>
      <c r="E6" s="55"/>
      <c r="F6" s="56" t="s">
        <v>97</v>
      </c>
    </row>
    <row r="7" ht="16" customHeight="1" spans="2:6" x14ac:dyDescent="0.25">
      <c r="B7" s="57">
        <f>'2-Min Check-In'!H18</f>
      </c>
      <c r="C7" s="57"/>
      <c r="D7" s="58">
        <f>('2-Min Check-In'!C18+'2-Min Check-In'!D18)/('2-Min Check-In'!G18+'2-Min Check-In'!F18)</f>
      </c>
      <c r="E7" s="58"/>
      <c r="F7" s="59" t="s">
        <v>98</v>
      </c>
    </row>
    <row r="9" ht="24" customHeight="1" spans="2:6" x14ac:dyDescent="0.25">
      <c r="B9" s="60" t="s">
        <v>99</v>
      </c>
      <c r="C9" s="60"/>
      <c r="D9" s="60"/>
      <c r="E9" s="60"/>
      <c r="F9" s="60"/>
    </row>
    <row r="10" ht="20" customHeight="1" spans="2:6" x14ac:dyDescent="0.25">
      <c r="B10" s="61" t="s">
        <v>100</v>
      </c>
      <c r="C10" s="61" t="s">
        <v>101</v>
      </c>
      <c r="D10" s="61" t="s">
        <v>102</v>
      </c>
      <c r="E10" s="61" t="s">
        <v>103</v>
      </c>
      <c r="F10" s="61" t="s">
        <v>104</v>
      </c>
    </row>
    <row r="11" ht="20" customHeight="1" spans="2:6" x14ac:dyDescent="0.25">
      <c r="B11" s="6" t="s">
        <v>105</v>
      </c>
      <c r="C11" s="37">
        <f>'2-Min Check-In'!G6</f>
      </c>
      <c r="D11" s="37">
        <f>'2-Min Check-In'!D6</f>
      </c>
      <c r="E11" s="37">
        <f>'2-Min Check-In'!F6</f>
      </c>
      <c r="F11" s="6" t="s">
        <v>106</v>
      </c>
    </row>
    <row r="12" ht="20" customHeight="1" spans="2:6" x14ac:dyDescent="0.25">
      <c r="B12" s="62" t="s">
        <v>107</v>
      </c>
      <c r="C12" s="44">
        <f>'2-Min Check-In'!G9</f>
      </c>
      <c r="D12" s="44">
        <f>'2-Min Check-In'!D9</f>
      </c>
      <c r="E12" s="44">
        <f>'2-Min Check-In'!F9</f>
      </c>
      <c r="F12" s="62" t="s">
        <v>108</v>
      </c>
    </row>
    <row r="13" ht="20" customHeight="1" spans="2:6" x14ac:dyDescent="0.25">
      <c r="B13" s="6" t="s">
        <v>109</v>
      </c>
      <c r="C13" s="37">
        <f>'2-Min Check-In'!G12</f>
      </c>
      <c r="D13" s="37">
        <f>'2-Min Check-In'!D12</f>
      </c>
      <c r="E13" s="37">
        <f>'2-Min Check-In'!F12</f>
      </c>
      <c r="F13" s="6" t="s">
        <v>110</v>
      </c>
    </row>
    <row r="14" ht="20" customHeight="1" spans="2:6" x14ac:dyDescent="0.25">
      <c r="B14" s="62" t="s">
        <v>111</v>
      </c>
      <c r="C14" s="44">
        <f>'2-Min Check-In'!G15</f>
      </c>
      <c r="D14" s="44">
        <f>'2-Min Check-In'!D15</f>
      </c>
      <c r="E14" s="44">
        <f>'2-Min Check-In'!F15</f>
      </c>
      <c r="F14" s="62" t="s">
        <v>112</v>
      </c>
    </row>
    <row r="15" ht="20" customHeight="1" spans="2:6" x14ac:dyDescent="0.25">
      <c r="B15" s="6" t="s">
        <v>113</v>
      </c>
      <c r="C15" s="37">
        <f>'2-Min Check-In'!G17</f>
      </c>
      <c r="D15" s="37">
        <f>'2-Min Check-In'!D17</f>
      </c>
      <c r="E15" s="37">
        <f>'2-Min Check-In'!F17</f>
      </c>
      <c r="F15" s="6" t="s">
        <v>114</v>
      </c>
    </row>
    <row r="18" ht="24" customHeight="1" spans="2:6" x14ac:dyDescent="0.25">
      <c r="B18" s="60" t="s">
        <v>115</v>
      </c>
      <c r="C18" s="60"/>
      <c r="D18" s="60"/>
      <c r="E18" s="60"/>
      <c r="F18" s="60"/>
    </row>
    <row r="19" ht="20" customHeight="1" spans="2:6" x14ac:dyDescent="0.25">
      <c r="B19" s="63" t="s">
        <v>116</v>
      </c>
      <c r="C19" s="63" t="s">
        <v>117</v>
      </c>
      <c r="D19" s="63" t="s">
        <v>118</v>
      </c>
      <c r="E19" s="63" t="s">
        <v>119</v>
      </c>
      <c r="F19" s="63"/>
    </row>
    <row r="20" ht="24" customHeight="1" spans="2:6" x14ac:dyDescent="0.25">
      <c r="B20" s="64" t="s">
        <v>120</v>
      </c>
      <c r="C20" s="64" t="s">
        <v>121</v>
      </c>
      <c r="D20" s="64" t="s">
        <v>122</v>
      </c>
      <c r="E20" s="64" t="s">
        <v>123</v>
      </c>
      <c r="F20" s="64"/>
    </row>
    <row r="22" ht="24" customHeight="1" spans="2:6" x14ac:dyDescent="0.25">
      <c r="B22" s="65" t="s">
        <v>124</v>
      </c>
      <c r="C22" s="65"/>
      <c r="D22" s="65"/>
      <c r="E22" s="65"/>
      <c r="F22" s="65"/>
    </row>
    <row r="23" ht="18" customHeight="1" spans="2:6" x14ac:dyDescent="0.25">
      <c r="B23" s="66" t="s">
        <v>125</v>
      </c>
      <c r="C23" s="66" t="s">
        <v>126</v>
      </c>
      <c r="D23" s="66" t="s">
        <v>127</v>
      </c>
      <c r="E23" s="66" t="s">
        <v>128</v>
      </c>
      <c r="F23" s="66" t="s">
        <v>129</v>
      </c>
    </row>
    <row r="24" ht="24" customHeight="1" spans="2:6" x14ac:dyDescent="0.25">
      <c r="B24" s="67">
        <v>32</v>
      </c>
      <c r="C24" s="68">
        <v>108000</v>
      </c>
      <c r="D24" s="17">
        <f>(B24*C24)/10</f>
      </c>
      <c r="E24" s="69">
        <f>'2-Min Check-In'!G18/D24</f>
      </c>
      <c r="F24" s="70">
        <f>IF('2-Min Check-In'!G18&gt;=2*D24, "PAW (Top 10% Accumulator)", IF('2-Min Check-In'!G18&gt;=D24, "AAW (Solid Average)", "UAW (Under Accumulator)"))</f>
      </c>
    </row>
    <row r="26" ht="24" customHeight="1" spans="2:6" x14ac:dyDescent="0.25">
      <c r="B26" s="71" t="s">
        <v>130</v>
      </c>
      <c r="C26" s="71"/>
      <c r="D26" s="71"/>
      <c r="E26" s="71"/>
      <c r="F26" s="71"/>
    </row>
    <row r="27" ht="18" customHeight="1" spans="2:6" x14ac:dyDescent="0.25">
      <c r="B27" s="66" t="s">
        <v>131</v>
      </c>
      <c r="C27" s="66" t="s">
        <v>132</v>
      </c>
      <c r="D27" s="66" t="s">
        <v>133</v>
      </c>
      <c r="E27" s="66" t="s">
        <v>134</v>
      </c>
      <c r="F27" s="66" t="s">
        <v>135</v>
      </c>
    </row>
    <row r="28" ht="19" customHeight="1" spans="2:6" x14ac:dyDescent="0.25">
      <c r="B28" s="8" t="s">
        <v>136</v>
      </c>
      <c r="C28" s="72">
        <v>100000</v>
      </c>
      <c r="D28" s="73">
        <f>MIN(1, '2-Min Check-In'!G18/C28)</f>
      </c>
      <c r="E28" s="72">
        <f>MAX(0, C28-'2-Min Check-In'!G18)</f>
      </c>
      <c r="F28" s="74" t="s">
        <v>137</v>
      </c>
    </row>
    <row r="29" ht="19" customHeight="1" spans="2:6" x14ac:dyDescent="0.25">
      <c r="B29" s="75" t="s">
        <v>138</v>
      </c>
      <c r="C29" s="76">
        <v>250000</v>
      </c>
      <c r="D29" s="77">
        <f>MIN(1, '2-Min Check-In'!G18/C29)</f>
      </c>
      <c r="E29" s="76">
        <f>MAX(0, C29-'2-Min Check-In'!G18)</f>
      </c>
      <c r="F29" s="78" t="s">
        <v>139</v>
      </c>
    </row>
    <row r="30" ht="19" customHeight="1" spans="2:6" x14ac:dyDescent="0.25">
      <c r="B30" s="8" t="s">
        <v>140</v>
      </c>
      <c r="C30" s="72">
        <v>500000</v>
      </c>
      <c r="D30" s="73">
        <f>MIN(1, '2-Min Check-In'!G18/C30)</f>
      </c>
      <c r="E30" s="72">
        <f>MAX(0, C30-'2-Min Check-In'!G18)</f>
      </c>
      <c r="F30" s="74" t="s">
        <v>141</v>
      </c>
    </row>
    <row r="31" ht="19" customHeight="1" spans="2:6" x14ac:dyDescent="0.25">
      <c r="B31" s="75" t="s">
        <v>142</v>
      </c>
      <c r="C31" s="76">
        <v>1000000</v>
      </c>
      <c r="D31" s="77">
        <f>MIN(1, '2-Min Check-In'!G18/C31)</f>
      </c>
      <c r="E31" s="76">
        <f>MAX(0, C31-'2-Min Check-In'!G18)</f>
      </c>
      <c r="F31" s="78" t="s">
        <v>143</v>
      </c>
    </row>
    <row r="33" ht="24" customHeight="1" spans="2:6" x14ac:dyDescent="0.25">
      <c r="B33" s="65" t="s">
        <v>144</v>
      </c>
      <c r="C33" s="65"/>
      <c r="D33" s="65"/>
      <c r="E33" s="65"/>
      <c r="F33" s="65"/>
    </row>
    <row r="34" ht="18" customHeight="1" spans="2:6" x14ac:dyDescent="0.25">
      <c r="B34" s="66" t="s">
        <v>145</v>
      </c>
      <c r="C34" s="66" t="s">
        <v>146</v>
      </c>
      <c r="D34" s="66" t="s">
        <v>147</v>
      </c>
      <c r="E34" s="66" t="s">
        <v>148</v>
      </c>
      <c r="F34" s="66" t="s">
        <v>149</v>
      </c>
    </row>
    <row r="35" ht="24" customHeight="1" spans="2:6" x14ac:dyDescent="0.25">
      <c r="B35" s="79">
        <f>'2-Min Check-In'!C18+'2-Min Check-In'!D18</f>
      </c>
      <c r="C35" s="79">
        <f>'Smart Budget (50-30-20)'!C20</f>
      </c>
      <c r="D35" s="80">
        <f>B35/C35</f>
      </c>
      <c r="E35" s="81">
        <f>B35/'2-Min Check-In'!G18</f>
      </c>
      <c r="F35" s="82" t="s">
        <v>150</v>
      </c>
    </row>
    <row r="37" ht="22" customHeight="1" spans="2:6" x14ac:dyDescent="0.25">
      <c r="B37" s="83" t="s">
        <v>151</v>
      </c>
      <c r="C37" s="83"/>
      <c r="D37" s="83"/>
      <c r="E37" s="83"/>
      <c r="F37" s="83"/>
    </row>
  </sheetData>
  <mergeCells count="16">
    <mergeCell ref="B2:F2"/>
    <mergeCell ref="B3:F3"/>
    <mergeCell ref="B5:C5"/>
    <mergeCell ref="D5:E5"/>
    <mergeCell ref="B6:C6"/>
    <mergeCell ref="D6:E6"/>
    <mergeCell ref="B7:C7"/>
    <mergeCell ref="D7:E7"/>
    <mergeCell ref="B9:F9"/>
    <mergeCell ref="B18:F18"/>
    <mergeCell ref="E19:F19"/>
    <mergeCell ref="E20:F20"/>
    <mergeCell ref="B22:F22"/>
    <mergeCell ref="B26:F26"/>
    <mergeCell ref="B33:F33"/>
    <mergeCell ref="B37:F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0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4" width="18" customWidth="1"/>
    <col min="5" max="5" width="16" customWidth="1"/>
    <col min="6" max="6" width="22" customWidth="1"/>
    <col min="7" max="7" width="4" customWidth="1"/>
  </cols>
  <sheetData>
    <row r="2" ht="28" customHeight="1" spans="2:6" x14ac:dyDescent="0.25">
      <c r="B2" s="51" t="s">
        <v>152</v>
      </c>
      <c r="C2" s="51"/>
      <c r="D2" s="51"/>
      <c r="E2" s="51"/>
      <c r="F2" s="51"/>
    </row>
    <row r="3" ht="18" customHeight="1" spans="2:6" x14ac:dyDescent="0.25">
      <c r="B3" s="52" t="s">
        <v>153</v>
      </c>
      <c r="C3" s="52"/>
      <c r="D3" s="52"/>
      <c r="E3" s="52"/>
      <c r="F3" s="52"/>
    </row>
    <row r="5" spans="2:6" x14ac:dyDescent="0.25">
      <c r="B5" s="84" t="s">
        <v>154</v>
      </c>
      <c r="C5" s="84"/>
      <c r="D5" s="84"/>
      <c r="E5" s="53" t="s">
        <v>155</v>
      </c>
      <c r="F5" s="53"/>
    </row>
    <row r="6" spans="2:6" x14ac:dyDescent="0.25">
      <c r="B6" s="85">
        <f>E24</f>
      </c>
      <c r="C6" s="85"/>
      <c r="D6" s="85"/>
      <c r="E6" s="86">
        <f>E24/30</f>
      </c>
      <c r="F6" s="86"/>
    </row>
    <row r="8" ht="22" customHeight="1" spans="2:6" x14ac:dyDescent="0.25">
      <c r="B8" s="87" t="s">
        <v>156</v>
      </c>
      <c r="C8" s="87" t="s">
        <v>157</v>
      </c>
      <c r="D8" s="87" t="s">
        <v>158</v>
      </c>
      <c r="E8" s="87" t="s">
        <v>159</v>
      </c>
      <c r="F8" s="87" t="s">
        <v>160</v>
      </c>
    </row>
    <row r="9" ht="20" customHeight="1" spans="2:6" x14ac:dyDescent="0.25">
      <c r="B9" s="88" t="s">
        <v>161</v>
      </c>
      <c r="C9" s="88"/>
      <c r="D9" s="88"/>
      <c r="E9" s="88"/>
      <c r="F9" s="88"/>
    </row>
    <row r="10" ht="19" customHeight="1" spans="2:6" x14ac:dyDescent="0.25">
      <c r="B10" s="6" t="s">
        <v>162</v>
      </c>
      <c r="C10" s="37">
        <v>6800</v>
      </c>
      <c r="D10" s="37">
        <v>6800</v>
      </c>
      <c r="E10" s="37">
        <f>D10-C10</f>
      </c>
      <c r="F10" s="6" t="s">
        <v>163</v>
      </c>
    </row>
    <row r="11" ht="19" customHeight="1" spans="2:6" x14ac:dyDescent="0.25">
      <c r="B11" s="6" t="s">
        <v>164</v>
      </c>
      <c r="C11" s="37">
        <v>2200</v>
      </c>
      <c r="D11" s="37">
        <v>2200</v>
      </c>
      <c r="E11" s="37">
        <f>D11-C11</f>
      </c>
      <c r="F11" s="6" t="s">
        <v>163</v>
      </c>
    </row>
    <row r="12" ht="19" customHeight="1" spans="2:6" x14ac:dyDescent="0.25">
      <c r="B12" s="6" t="s">
        <v>165</v>
      </c>
      <c r="C12" s="37">
        <v>500</v>
      </c>
      <c r="D12" s="37">
        <v>650</v>
      </c>
      <c r="E12" s="37">
        <f>D12-C12</f>
      </c>
      <c r="F12" s="6" t="s">
        <v>163</v>
      </c>
    </row>
    <row r="13" ht="20" customHeight="1" spans="2:6" x14ac:dyDescent="0.25">
      <c r="B13" s="89" t="s">
        <v>166</v>
      </c>
      <c r="C13" s="90">
        <f>SUM(C10:C12)</f>
      </c>
      <c r="D13" s="90">
        <f>SUM(D10:D12)</f>
      </c>
      <c r="E13" s="90">
        <f>D13-C13</f>
      </c>
      <c r="F13" s="89" t="s">
        <v>167</v>
      </c>
    </row>
    <row r="14" ht="20" customHeight="1" spans="2:6" x14ac:dyDescent="0.25">
      <c r="B14" s="91" t="s">
        <v>168</v>
      </c>
      <c r="C14" s="91"/>
      <c r="D14" s="91"/>
      <c r="E14" s="91"/>
      <c r="F14" s="91"/>
    </row>
    <row r="15" ht="19" customHeight="1" spans="2:6" x14ac:dyDescent="0.25">
      <c r="B15" s="6" t="s">
        <v>169</v>
      </c>
      <c r="C15" s="37">
        <v>2400</v>
      </c>
      <c r="D15" s="37">
        <v>2400</v>
      </c>
      <c r="E15" s="37">
        <f>C15-D15</f>
      </c>
      <c r="F15" s="42">
        <f>D15/$D$13</f>
      </c>
    </row>
    <row r="16" ht="19" customHeight="1" spans="2:6" x14ac:dyDescent="0.25">
      <c r="B16" s="6" t="s">
        <v>170</v>
      </c>
      <c r="C16" s="37">
        <v>750</v>
      </c>
      <c r="D16" s="37">
        <v>820</v>
      </c>
      <c r="E16" s="37">
        <f>C16-D16</f>
      </c>
      <c r="F16" s="42">
        <f>D16/$D$13</f>
      </c>
    </row>
    <row r="17" ht="19" customHeight="1" spans="2:6" x14ac:dyDescent="0.25">
      <c r="B17" s="6" t="s">
        <v>171</v>
      </c>
      <c r="C17" s="37">
        <v>320</v>
      </c>
      <c r="D17" s="37">
        <v>310</v>
      </c>
      <c r="E17" s="37">
        <f>C17-D17</f>
      </c>
      <c r="F17" s="42">
        <f>D17/$D$13</f>
      </c>
    </row>
    <row r="18" ht="19" customHeight="1" spans="2:6" x14ac:dyDescent="0.25">
      <c r="B18" s="6" t="s">
        <v>172</v>
      </c>
      <c r="C18" s="37">
        <v>450</v>
      </c>
      <c r="D18" s="37">
        <v>450</v>
      </c>
      <c r="E18" s="37">
        <f>C18-D18</f>
      </c>
      <c r="F18" s="42">
        <f>D18/$D$13</f>
      </c>
    </row>
    <row r="19" ht="19" customHeight="1" spans="2:6" x14ac:dyDescent="0.25">
      <c r="B19" s="6" t="s">
        <v>173</v>
      </c>
      <c r="C19" s="37">
        <v>400</v>
      </c>
      <c r="D19" s="37">
        <v>380</v>
      </c>
      <c r="E19" s="37">
        <f>C19-D19</f>
      </c>
      <c r="F19" s="42">
        <f>D19/$D$13</f>
      </c>
    </row>
    <row r="20" ht="20" customHeight="1" spans="2:6" x14ac:dyDescent="0.25">
      <c r="B20" s="92" t="s">
        <v>174</v>
      </c>
      <c r="C20" s="93">
        <f>SUM(C15:C19)</f>
      </c>
      <c r="D20" s="93">
        <f>SUM(D15:D19)</f>
      </c>
      <c r="E20" s="93">
        <f>C20-D20</f>
      </c>
      <c r="F20" s="94">
        <f>D20/D13</f>
      </c>
    </row>
    <row r="21" ht="20" customHeight="1" spans="2:6" x14ac:dyDescent="0.25">
      <c r="B21" s="95" t="s">
        <v>175</v>
      </c>
      <c r="C21" s="95"/>
      <c r="D21" s="95"/>
      <c r="E21" s="95"/>
      <c r="F21" s="95"/>
    </row>
    <row r="22" ht="19" customHeight="1" spans="2:6" x14ac:dyDescent="0.25">
      <c r="B22" s="6" t="s">
        <v>176</v>
      </c>
      <c r="C22" s="37">
        <v>650</v>
      </c>
      <c r="D22" s="37">
        <v>520</v>
      </c>
      <c r="E22" s="37">
        <f>C22-D22</f>
      </c>
      <c r="F22" s="42">
        <f>D22/$D$13</f>
      </c>
    </row>
    <row r="23" ht="19" customHeight="1" spans="2:6" x14ac:dyDescent="0.25">
      <c r="B23" s="6" t="s">
        <v>177</v>
      </c>
      <c r="C23" s="37">
        <v>120</v>
      </c>
      <c r="D23" s="37">
        <v>115</v>
      </c>
      <c r="E23" s="37">
        <f>C23-D23</f>
      </c>
      <c r="F23" s="42">
        <f>D23/$D$13</f>
      </c>
    </row>
    <row r="24" ht="19" customHeight="1" spans="2:6" x14ac:dyDescent="0.25">
      <c r="B24" s="6" t="s">
        <v>178</v>
      </c>
      <c r="C24" s="37">
        <v>450</v>
      </c>
      <c r="D24" s="37">
        <v>380</v>
      </c>
      <c r="E24" s="37">
        <f>C24-D24</f>
      </c>
      <c r="F24" s="42">
        <f>D24/$D$13</f>
      </c>
    </row>
    <row r="25" ht="20" customHeight="1" spans="2:6" x14ac:dyDescent="0.25">
      <c r="B25" s="96" t="s">
        <v>179</v>
      </c>
      <c r="C25" s="97">
        <f>SUM(C22:C24)</f>
      </c>
      <c r="D25" s="97">
        <f>SUM(D22:D24)</f>
      </c>
      <c r="E25" s="97">
        <f>C25-D25</f>
      </c>
      <c r="F25" s="98">
        <f>D25/D13</f>
      </c>
    </row>
    <row r="26" ht="20" customHeight="1" spans="2:6" x14ac:dyDescent="0.25">
      <c r="B26" s="88" t="s">
        <v>180</v>
      </c>
      <c r="C26" s="88"/>
      <c r="D26" s="88"/>
      <c r="E26" s="88"/>
      <c r="F26" s="88"/>
    </row>
    <row r="27" ht="19" customHeight="1" spans="2:6" x14ac:dyDescent="0.25">
      <c r="B27" s="6" t="s">
        <v>181</v>
      </c>
      <c r="C27" s="37">
        <v>2200</v>
      </c>
      <c r="D27" s="37">
        <v>2200</v>
      </c>
      <c r="E27" s="37">
        <f>D27-C27</f>
      </c>
      <c r="F27" s="42">
        <f>D27/$D$13</f>
      </c>
    </row>
    <row r="28" ht="19" customHeight="1" spans="2:6" x14ac:dyDescent="0.25">
      <c r="B28" s="6" t="s">
        <v>182</v>
      </c>
      <c r="C28" s="37">
        <v>500</v>
      </c>
      <c r="D28" s="37">
        <v>500</v>
      </c>
      <c r="E28" s="37">
        <f>D28-C28</f>
      </c>
      <c r="F28" s="42">
        <f>D28/$D$13</f>
      </c>
    </row>
    <row r="29" ht="19" customHeight="1" spans="2:6" x14ac:dyDescent="0.25">
      <c r="B29" s="6" t="s">
        <v>183</v>
      </c>
      <c r="C29" s="37">
        <v>600</v>
      </c>
      <c r="D29" s="37">
        <v>750</v>
      </c>
      <c r="E29" s="37">
        <f>D29-C29</f>
      </c>
      <c r="F29" s="42">
        <f>D29/$D$13</f>
      </c>
    </row>
    <row r="30" ht="20" customHeight="1" spans="2:6" x14ac:dyDescent="0.25">
      <c r="B30" s="99" t="s">
        <v>184</v>
      </c>
      <c r="C30" s="100">
        <f>SUM(C27:C29)</f>
      </c>
      <c r="D30" s="100">
        <f>SUM(D27:D29)</f>
      </c>
      <c r="E30" s="100">
        <f>D30-C30</f>
      </c>
      <c r="F30" s="101">
        <f>D30/D13</f>
      </c>
    </row>
  </sheetData>
  <mergeCells count="10">
    <mergeCell ref="B2:F2"/>
    <mergeCell ref="B3:F3"/>
    <mergeCell ref="B5:D5"/>
    <mergeCell ref="E5:F5"/>
    <mergeCell ref="B6:D6"/>
    <mergeCell ref="E6:F6"/>
    <mergeCell ref="B9:F9"/>
    <mergeCell ref="B14:F14"/>
    <mergeCell ref="B21:F21"/>
    <mergeCell ref="B26:F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1"/>
  <sheetViews>
    <sheetView workbookViewId="0"/>
  </sheetViews>
  <sheetFormatPr defaultRowHeight="15" outlineLevelRow="0" outlineLevelCol="0" x14ac:dyDescent="55"/>
  <cols>
    <col min="1" max="1" width="4" customWidth="1"/>
    <col min="2" max="2" width="26" customWidth="1"/>
    <col min="3" max="6" width="16" customWidth="1"/>
    <col min="7" max="7" width="18" customWidth="1"/>
    <col min="8" max="8" width="14" customWidth="1"/>
  </cols>
  <sheetData>
    <row r="2" ht="28" customHeight="1" spans="2:8" x14ac:dyDescent="0.25">
      <c r="B2" s="1" t="s">
        <v>185</v>
      </c>
      <c r="C2" s="1"/>
      <c r="D2" s="1"/>
      <c r="E2" s="1"/>
      <c r="F2" s="1"/>
      <c r="G2" s="1"/>
      <c r="H2" s="1"/>
    </row>
    <row r="3" ht="18" customHeight="1" spans="2:8" x14ac:dyDescent="0.25">
      <c r="B3" s="33" t="s">
        <v>186</v>
      </c>
      <c r="C3" s="33"/>
      <c r="D3" s="33"/>
      <c r="E3" s="33"/>
      <c r="F3" s="33"/>
      <c r="G3" s="33"/>
      <c r="H3" s="33"/>
    </row>
    <row r="5" ht="22" customHeight="1" spans="2:8" x14ac:dyDescent="0.25">
      <c r="B5" s="87" t="s">
        <v>187</v>
      </c>
      <c r="C5" s="87" t="s">
        <v>188</v>
      </c>
      <c r="D5" s="87" t="s">
        <v>189</v>
      </c>
      <c r="E5" s="87" t="s">
        <v>190</v>
      </c>
      <c r="F5" s="87" t="s">
        <v>191</v>
      </c>
      <c r="G5" s="87" t="s">
        <v>192</v>
      </c>
      <c r="H5" s="87" t="s">
        <v>193</v>
      </c>
    </row>
    <row r="6" ht="20" customHeight="1" spans="2:8" x14ac:dyDescent="0.25">
      <c r="B6" s="6" t="s">
        <v>194</v>
      </c>
      <c r="C6" s="37">
        <v>25000</v>
      </c>
      <c r="D6" s="37">
        <v>21500</v>
      </c>
      <c r="E6" s="37">
        <f>C6-D6</f>
      </c>
      <c r="F6" s="6" t="s">
        <v>84</v>
      </c>
      <c r="G6" s="37">
        <v>700</v>
      </c>
      <c r="H6" s="42">
        <f>D6/C6</f>
      </c>
    </row>
    <row r="7" ht="20" customHeight="1" spans="2:8" x14ac:dyDescent="0.25">
      <c r="B7" s="62" t="s">
        <v>195</v>
      </c>
      <c r="C7" s="44">
        <v>2000</v>
      </c>
      <c r="D7" s="44">
        <v>1400</v>
      </c>
      <c r="E7" s="44">
        <f>C7-D7</f>
      </c>
      <c r="F7" s="62" t="s">
        <v>86</v>
      </c>
      <c r="G7" s="44">
        <v>150</v>
      </c>
      <c r="H7" s="47">
        <f>D7/C7</f>
      </c>
    </row>
    <row r="8" ht="20" customHeight="1" spans="2:8" x14ac:dyDescent="0.25">
      <c r="B8" s="6" t="s">
        <v>196</v>
      </c>
      <c r="C8" s="37">
        <v>4500</v>
      </c>
      <c r="D8" s="37">
        <v>2800</v>
      </c>
      <c r="E8" s="37">
        <f>C8-D8</f>
      </c>
      <c r="F8" s="6" t="s">
        <v>90</v>
      </c>
      <c r="G8" s="37">
        <v>250</v>
      </c>
      <c r="H8" s="42">
        <f>D8/C8</f>
      </c>
    </row>
    <row r="9" ht="20" customHeight="1" spans="2:8" x14ac:dyDescent="0.25">
      <c r="B9" s="62" t="s">
        <v>197</v>
      </c>
      <c r="C9" s="44">
        <v>1500</v>
      </c>
      <c r="D9" s="44">
        <v>750</v>
      </c>
      <c r="E9" s="44">
        <f>C9-D9</f>
      </c>
      <c r="F9" s="62" t="s">
        <v>89</v>
      </c>
      <c r="G9" s="44">
        <v>125</v>
      </c>
      <c r="H9" s="47">
        <f>D9/C9</f>
      </c>
    </row>
    <row r="10" ht="20" customHeight="1" spans="2:8" x14ac:dyDescent="0.25">
      <c r="B10" s="6" t="s">
        <v>198</v>
      </c>
      <c r="C10" s="37">
        <v>3500</v>
      </c>
      <c r="D10" s="37">
        <v>1800</v>
      </c>
      <c r="E10" s="37">
        <f>C10-D10</f>
      </c>
      <c r="F10" s="6" t="s">
        <v>88</v>
      </c>
      <c r="G10" s="37">
        <v>250</v>
      </c>
      <c r="H10" s="42">
        <f>D10/C10</f>
      </c>
    </row>
    <row r="11" ht="22" customHeight="1" spans="2:8" x14ac:dyDescent="0.25">
      <c r="B11" s="48" t="s">
        <v>199</v>
      </c>
      <c r="C11" s="49">
        <f>SUM(C6:C10)</f>
      </c>
      <c r="D11" s="49">
        <f>SUM(D6:D10)</f>
      </c>
      <c r="E11" s="49">
        <f>SUM(E6:E10)</f>
      </c>
      <c r="F11" s="48" t="s">
        <v>200</v>
      </c>
      <c r="G11" s="49">
        <f>SUM(G6:G10)</f>
      </c>
      <c r="H11" s="102">
        <f>D11/C11</f>
      </c>
    </row>
  </sheetData>
  <mergeCells count="2">
    <mergeCell ref="B2:H2"/>
    <mergeCell ref="B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6"/>
  <sheetViews>
    <sheetView workbookViewId="0"/>
  </sheetViews>
  <sheetFormatPr defaultRowHeight="15" outlineLevelRow="0" outlineLevelCol="0" x14ac:dyDescent="55"/>
  <cols>
    <col min="1" max="1" width="4" customWidth="1"/>
    <col min="2" max="2" width="30" customWidth="1"/>
    <col min="3" max="3" width="18" customWidth="1"/>
    <col min="4" max="4" width="22" customWidth="1"/>
    <col min="5" max="5" width="20" customWidth="1"/>
    <col min="6" max="6" width="4" customWidth="1"/>
  </cols>
  <sheetData>
    <row r="2" ht="28" customHeight="1" spans="2:5" x14ac:dyDescent="0.25">
      <c r="B2" s="103" t="s">
        <v>201</v>
      </c>
      <c r="C2" s="103"/>
      <c r="D2" s="103"/>
      <c r="E2" s="103"/>
    </row>
    <row r="4" spans="2:5" x14ac:dyDescent="0.25">
      <c r="B4" s="3" t="s">
        <v>202</v>
      </c>
      <c r="C4" s="3"/>
      <c r="D4" s="3"/>
      <c r="E4" s="3"/>
    </row>
    <row r="5" ht="19" customHeight="1" spans="2:3" x14ac:dyDescent="0.25">
      <c r="B5" s="6" t="s">
        <v>203</v>
      </c>
      <c r="C5" s="104">
        <v>32</v>
      </c>
    </row>
    <row r="6" ht="19" customHeight="1" spans="2:3" x14ac:dyDescent="0.25">
      <c r="B6" s="6" t="s">
        <v>204</v>
      </c>
      <c r="C6" s="105">
        <v>66000</v>
      </c>
    </row>
    <row r="7" ht="19" customHeight="1" spans="2:3" x14ac:dyDescent="0.25">
      <c r="B7" s="6" t="s">
        <v>205</v>
      </c>
      <c r="C7" s="106">
        <v>0.04</v>
      </c>
    </row>
    <row r="8" ht="19" customHeight="1" spans="2:3" x14ac:dyDescent="0.25">
      <c r="B8" s="6" t="s">
        <v>206</v>
      </c>
      <c r="C8" s="106">
        <v>0.07</v>
      </c>
    </row>
    <row r="9" ht="19" customHeight="1" spans="2:3" x14ac:dyDescent="0.25">
      <c r="B9" s="6" t="s">
        <v>207</v>
      </c>
      <c r="C9" s="105">
        <f>'2-Min Check-In'!D18</f>
      </c>
    </row>
    <row r="10" ht="19" customHeight="1" spans="2:3" x14ac:dyDescent="0.25">
      <c r="B10" s="6" t="s">
        <v>208</v>
      </c>
      <c r="C10" s="105">
        <f>'Smart Budget (50-30-20)'!D27</f>
      </c>
    </row>
    <row r="12" spans="2:5" x14ac:dyDescent="0.25">
      <c r="B12" s="88" t="s">
        <v>209</v>
      </c>
      <c r="C12" s="88"/>
      <c r="D12" s="88"/>
      <c r="E12" s="88"/>
    </row>
    <row r="13" ht="20" customHeight="1" spans="2:4" x14ac:dyDescent="0.25">
      <c r="B13" s="6" t="s">
        <v>210</v>
      </c>
      <c r="C13" s="105">
        <f>C6*0.65/C7</f>
      </c>
      <c r="D13" s="107" t="s">
        <v>211</v>
      </c>
    </row>
    <row r="14" ht="20" customHeight="1" spans="2:4" x14ac:dyDescent="0.25">
      <c r="B14" s="6" t="s">
        <v>212</v>
      </c>
      <c r="C14" s="105">
        <f>C6/C7</f>
      </c>
      <c r="D14" s="107" t="s">
        <v>213</v>
      </c>
    </row>
    <row r="15" ht="20" customHeight="1" spans="2:4" x14ac:dyDescent="0.25">
      <c r="B15" s="6" t="s">
        <v>214</v>
      </c>
      <c r="C15" s="105">
        <f>C6*1.4/C7</f>
      </c>
      <c r="D15" s="107" t="s">
        <v>215</v>
      </c>
    </row>
    <row r="16" ht="20" customHeight="1" spans="2:4" x14ac:dyDescent="0.25">
      <c r="B16" s="6" t="s">
        <v>216</v>
      </c>
      <c r="C16" s="105">
        <f>(C6/C7)/(1+C8)^(60-C5)</f>
      </c>
      <c r="D16" s="107" t="s">
        <v>217</v>
      </c>
    </row>
  </sheetData>
  <mergeCells count="3">
    <mergeCell ref="B2:E2"/>
    <mergeCell ref="B4:E4"/>
    <mergeCell ref="B12:E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9"/>
  <sheetViews>
    <sheetView workbookViewId="0"/>
  </sheetViews>
  <sheetFormatPr defaultRowHeight="15" outlineLevelRow="0" outlineLevelCol="0" x14ac:dyDescent="55"/>
  <cols>
    <col min="1" max="1" width="4" customWidth="1"/>
    <col min="2" max="2" width="24" customWidth="1"/>
    <col min="3" max="3" width="16" customWidth="1"/>
    <col min="4" max="4" width="14" customWidth="1"/>
    <col min="5" max="5" width="16" customWidth="1"/>
    <col min="6" max="6" width="18" customWidth="1"/>
    <col min="7" max="7" width="4" customWidth="1"/>
  </cols>
  <sheetData>
    <row r="2" ht="28" customHeight="1" spans="2:6" x14ac:dyDescent="0.25">
      <c r="B2" s="103" t="s">
        <v>218</v>
      </c>
      <c r="C2" s="103"/>
      <c r="D2" s="103"/>
      <c r="E2" s="103"/>
      <c r="F2" s="103"/>
    </row>
    <row r="4" ht="20" customHeight="1" spans="2:6" x14ac:dyDescent="0.25">
      <c r="B4" s="61" t="s">
        <v>219</v>
      </c>
      <c r="C4" s="61" t="s">
        <v>189</v>
      </c>
      <c r="D4" s="61" t="s">
        <v>220</v>
      </c>
      <c r="E4" s="61" t="s">
        <v>221</v>
      </c>
      <c r="F4" s="61" t="s">
        <v>222</v>
      </c>
    </row>
    <row r="5" ht="19" customHeight="1" spans="2:6" x14ac:dyDescent="0.25">
      <c r="B5" s="6" t="s">
        <v>223</v>
      </c>
      <c r="C5" s="37">
        <v>4200</v>
      </c>
      <c r="D5" s="108">
        <v>0.2499</v>
      </c>
      <c r="E5" s="37">
        <v>140</v>
      </c>
      <c r="F5" s="6" t="s">
        <v>224</v>
      </c>
    </row>
    <row r="6" ht="19" customHeight="1" spans="2:6" x14ac:dyDescent="0.25">
      <c r="B6" s="6" t="s">
        <v>225</v>
      </c>
      <c r="C6" s="37">
        <v>8500</v>
      </c>
      <c r="D6" s="108">
        <v>0.115</v>
      </c>
      <c r="E6" s="37">
        <v>210</v>
      </c>
      <c r="F6" s="6" t="s">
        <v>226</v>
      </c>
    </row>
    <row r="7" ht="19" customHeight="1" spans="2:6" x14ac:dyDescent="0.25">
      <c r="B7" s="6" t="s">
        <v>227</v>
      </c>
      <c r="C7" s="37">
        <v>17400</v>
      </c>
      <c r="D7" s="108">
        <v>0.059</v>
      </c>
      <c r="E7" s="37">
        <v>380</v>
      </c>
      <c r="F7" s="6" t="s">
        <v>228</v>
      </c>
    </row>
    <row r="8" ht="19" customHeight="1" spans="2:6" x14ac:dyDescent="0.25">
      <c r="B8" s="6" t="s">
        <v>229</v>
      </c>
      <c r="C8" s="37">
        <v>200000</v>
      </c>
      <c r="D8" s="108">
        <v>0.035</v>
      </c>
      <c r="E8" s="37">
        <v>1670</v>
      </c>
      <c r="F8" s="6" t="s">
        <v>230</v>
      </c>
    </row>
    <row r="9" ht="20" customHeight="1" spans="2:6" x14ac:dyDescent="0.25">
      <c r="B9" s="89" t="s">
        <v>231</v>
      </c>
      <c r="C9" s="90">
        <f>SUM(C5:C8)</f>
      </c>
      <c r="D9" s="109">
        <f>AVERAGE(D5:D8)</f>
      </c>
      <c r="E9" s="90">
        <f>SUM(E5:E8)</f>
      </c>
      <c r="F9" s="89" t="s">
        <v>232</v>
      </c>
    </row>
  </sheetData>
  <mergeCells count="1">
    <mergeCell ref="B2:F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6"/>
  <sheetViews>
    <sheetView workbookViewId="0"/>
  </sheetViews>
  <sheetFormatPr defaultRowHeight="15" outlineLevelRow="0" outlineLevelCol="0" x14ac:dyDescent="55"/>
  <cols>
    <col min="1" max="1" width="4" customWidth="1"/>
    <col min="2" max="2" width="18" customWidth="1"/>
    <col min="3" max="8" width="14" customWidth="1"/>
    <col min="9" max="9" width="4" customWidth="1"/>
  </cols>
  <sheetData>
    <row r="2" ht="28" customHeight="1" spans="2:8" x14ac:dyDescent="0.25">
      <c r="B2" s="103" t="s">
        <v>233</v>
      </c>
      <c r="C2" s="103"/>
      <c r="D2" s="103"/>
      <c r="E2" s="103"/>
      <c r="F2" s="103"/>
      <c r="G2" s="103"/>
      <c r="H2" s="103"/>
    </row>
    <row r="4" ht="20" customHeight="1" spans="2:8" x14ac:dyDescent="0.25">
      <c r="B4" s="61" t="s">
        <v>234</v>
      </c>
      <c r="C4" s="61" t="s">
        <v>235</v>
      </c>
      <c r="D4" s="61" t="s">
        <v>236</v>
      </c>
      <c r="E4" s="61" t="s">
        <v>237</v>
      </c>
      <c r="F4" s="61" t="s">
        <v>238</v>
      </c>
      <c r="G4" s="61" t="s">
        <v>239</v>
      </c>
      <c r="H4" s="61" t="s">
        <v>240</v>
      </c>
    </row>
    <row r="5" ht="19" customHeight="1" spans="2:8" x14ac:dyDescent="0.25">
      <c r="B5" s="6" t="s">
        <v>241</v>
      </c>
      <c r="C5" s="37">
        <v>4800</v>
      </c>
      <c r="D5" s="37">
        <v>39000</v>
      </c>
      <c r="E5" s="37">
        <v>145000</v>
      </c>
      <c r="F5" s="37">
        <v>380000</v>
      </c>
      <c r="G5" s="37">
        <v>750000</v>
      </c>
      <c r="H5" s="37">
        <v>2800000</v>
      </c>
    </row>
    <row r="6" ht="19" customHeight="1" spans="2:8" x14ac:dyDescent="0.25">
      <c r="B6" s="62" t="s">
        <v>242</v>
      </c>
      <c r="C6" s="44">
        <v>35000</v>
      </c>
      <c r="D6" s="44">
        <v>135600</v>
      </c>
      <c r="E6" s="44">
        <v>420000</v>
      </c>
      <c r="F6" s="44">
        <v>980000</v>
      </c>
      <c r="G6" s="44">
        <v>1850000</v>
      </c>
      <c r="H6" s="44">
        <v>5500000</v>
      </c>
    </row>
    <row r="7" ht="19" customHeight="1" spans="2:8" x14ac:dyDescent="0.25">
      <c r="B7" s="6" t="s">
        <v>243</v>
      </c>
      <c r="C7" s="37">
        <v>68000</v>
      </c>
      <c r="D7" s="37">
        <v>247200</v>
      </c>
      <c r="E7" s="37">
        <v>780000</v>
      </c>
      <c r="F7" s="37">
        <v>1950000</v>
      </c>
      <c r="G7" s="37">
        <v>3400000</v>
      </c>
      <c r="H7" s="37">
        <v>10200000</v>
      </c>
    </row>
    <row r="8" ht="19" customHeight="1" spans="2:8" x14ac:dyDescent="0.25">
      <c r="B8" s="62" t="s">
        <v>244</v>
      </c>
      <c r="C8" s="44">
        <v>95000</v>
      </c>
      <c r="D8" s="44">
        <v>364500</v>
      </c>
      <c r="E8" s="44">
        <v>1150000</v>
      </c>
      <c r="F8" s="44">
        <v>2800000</v>
      </c>
      <c r="G8" s="44">
        <v>4900000</v>
      </c>
      <c r="H8" s="44">
        <v>14500000</v>
      </c>
    </row>
    <row r="9" ht="19" customHeight="1" spans="2:8" x14ac:dyDescent="0.25">
      <c r="B9" s="6" t="s">
        <v>245</v>
      </c>
      <c r="C9" s="37">
        <v>110000</v>
      </c>
      <c r="D9" s="37">
        <v>409900</v>
      </c>
      <c r="E9" s="37">
        <v>1350000</v>
      </c>
      <c r="F9" s="37">
        <v>3200000</v>
      </c>
      <c r="G9" s="37">
        <v>5600000</v>
      </c>
      <c r="H9" s="37">
        <v>16800000</v>
      </c>
    </row>
    <row r="10" ht="19" customHeight="1" spans="2:8" x14ac:dyDescent="0.25">
      <c r="B10" s="62" t="s">
        <v>246</v>
      </c>
      <c r="C10" s="44">
        <v>92000</v>
      </c>
      <c r="D10" s="44">
        <v>335600</v>
      </c>
      <c r="E10" s="44">
        <v>1050000</v>
      </c>
      <c r="F10" s="44">
        <v>2600000</v>
      </c>
      <c r="G10" s="44">
        <v>4700000</v>
      </c>
      <c r="H10" s="44">
        <v>13200000</v>
      </c>
    </row>
    <row r="13" ht="24" customHeight="1" spans="2:8" x14ac:dyDescent="0.25">
      <c r="B13" s="110" t="s">
        <v>247</v>
      </c>
      <c r="C13" s="110"/>
      <c r="D13" s="110"/>
      <c r="E13" s="110"/>
      <c r="F13" s="110"/>
      <c r="G13" s="110"/>
      <c r="H13" s="110"/>
    </row>
    <row r="14" ht="20" customHeight="1" spans="2:8" x14ac:dyDescent="0.25">
      <c r="B14" s="61" t="s">
        <v>248</v>
      </c>
      <c r="C14" s="61" t="s">
        <v>249</v>
      </c>
      <c r="D14" s="61" t="s">
        <v>250</v>
      </c>
      <c r="E14" s="61" t="s">
        <v>251</v>
      </c>
      <c r="F14" s="61" t="s">
        <v>252</v>
      </c>
      <c r="G14" s="61" t="s">
        <v>253</v>
      </c>
      <c r="H14" s="61" t="s">
        <v>254</v>
      </c>
    </row>
    <row r="15" ht="19" customHeight="1" spans="2:8" x14ac:dyDescent="0.25">
      <c r="B15" s="6" t="s">
        <v>255</v>
      </c>
      <c r="C15" s="37">
        <v>285000</v>
      </c>
      <c r="D15" s="37">
        <v>1250000</v>
      </c>
      <c r="E15" s="6" t="s">
        <v>256</v>
      </c>
      <c r="F15" s="37">
        <v>785000</v>
      </c>
      <c r="G15" s="6" t="s">
        <v>257</v>
      </c>
      <c r="H15" s="6" t="s">
        <v>258</v>
      </c>
    </row>
    <row r="16" ht="19" customHeight="1" spans="2:8" x14ac:dyDescent="0.25">
      <c r="B16" s="62" t="s">
        <v>259</v>
      </c>
      <c r="C16" s="44">
        <v>245000</v>
      </c>
      <c r="D16" s="44">
        <v>1180000</v>
      </c>
      <c r="E16" s="62" t="s">
        <v>260</v>
      </c>
      <c r="F16" s="44">
        <v>650000</v>
      </c>
      <c r="G16" s="62" t="s">
        <v>257</v>
      </c>
      <c r="H16" s="62" t="s">
        <v>261</v>
      </c>
    </row>
    <row r="17" ht="19" customHeight="1" spans="2:8" x14ac:dyDescent="0.25">
      <c r="B17" s="6" t="s">
        <v>262</v>
      </c>
      <c r="C17" s="37">
        <v>275000</v>
      </c>
      <c r="D17" s="37">
        <v>1200000</v>
      </c>
      <c r="E17" s="6" t="s">
        <v>263</v>
      </c>
      <c r="F17" s="37">
        <v>610000</v>
      </c>
      <c r="G17" s="6" t="s">
        <v>257</v>
      </c>
      <c r="H17" s="6" t="s">
        <v>264</v>
      </c>
    </row>
    <row r="18" ht="19" customHeight="1" spans="2:8" x14ac:dyDescent="0.25">
      <c r="B18" s="62" t="s">
        <v>265</v>
      </c>
      <c r="C18" s="44">
        <v>175000</v>
      </c>
      <c r="D18" s="44">
        <v>820000</v>
      </c>
      <c r="E18" s="62" t="s">
        <v>266</v>
      </c>
      <c r="F18" s="44">
        <v>345000</v>
      </c>
      <c r="G18" s="62" t="s">
        <v>267</v>
      </c>
      <c r="H18" s="62" t="s">
        <v>268</v>
      </c>
    </row>
    <row r="19" ht="19" customHeight="1" spans="2:8" x14ac:dyDescent="0.25">
      <c r="B19" s="6" t="s">
        <v>269</v>
      </c>
      <c r="C19" s="37">
        <v>195000</v>
      </c>
      <c r="D19" s="37">
        <v>890000</v>
      </c>
      <c r="E19" s="6" t="s">
        <v>270</v>
      </c>
      <c r="F19" s="37">
        <v>395000</v>
      </c>
      <c r="G19" s="6" t="s">
        <v>271</v>
      </c>
      <c r="H19" s="6" t="s">
        <v>272</v>
      </c>
    </row>
    <row r="20" ht="19" customHeight="1" spans="2:8" x14ac:dyDescent="0.25">
      <c r="B20" s="62" t="s">
        <v>273</v>
      </c>
      <c r="C20" s="44">
        <v>295000</v>
      </c>
      <c r="D20" s="44">
        <v>1320000</v>
      </c>
      <c r="E20" s="62" t="s">
        <v>274</v>
      </c>
      <c r="F20" s="44">
        <v>640000</v>
      </c>
      <c r="G20" s="62" t="s">
        <v>257</v>
      </c>
      <c r="H20" s="62" t="s">
        <v>275</v>
      </c>
    </row>
    <row r="21" ht="19" customHeight="1" spans="2:8" x14ac:dyDescent="0.25">
      <c r="B21" s="6" t="s">
        <v>276</v>
      </c>
      <c r="C21" s="37">
        <v>185000</v>
      </c>
      <c r="D21" s="37">
        <v>860000</v>
      </c>
      <c r="E21" s="6" t="s">
        <v>277</v>
      </c>
      <c r="F21" s="37">
        <v>275000</v>
      </c>
      <c r="G21" s="6" t="s">
        <v>267</v>
      </c>
      <c r="H21" s="6" t="s">
        <v>278</v>
      </c>
    </row>
    <row r="22" ht="19" customHeight="1" spans="2:8" x14ac:dyDescent="0.25">
      <c r="B22" s="62" t="s">
        <v>279</v>
      </c>
      <c r="C22" s="44">
        <v>260000</v>
      </c>
      <c r="D22" s="44">
        <v>1100000</v>
      </c>
      <c r="E22" s="62" t="s">
        <v>280</v>
      </c>
      <c r="F22" s="44">
        <v>550000</v>
      </c>
      <c r="G22" s="62" t="s">
        <v>281</v>
      </c>
      <c r="H22" s="62" t="s">
        <v>282</v>
      </c>
    </row>
    <row r="25" ht="24" customHeight="1" spans="2:8" x14ac:dyDescent="0.25">
      <c r="B25" s="111" t="s">
        <v>283</v>
      </c>
      <c r="C25" s="111"/>
      <c r="D25" s="111"/>
      <c r="E25" s="111"/>
      <c r="F25" s="111"/>
      <c r="G25" s="111"/>
      <c r="H25" s="111"/>
    </row>
    <row r="26" ht="20" customHeight="1" spans="2:8" x14ac:dyDescent="0.25">
      <c r="B26" s="61" t="s">
        <v>284</v>
      </c>
      <c r="C26" s="61" t="s">
        <v>285</v>
      </c>
      <c r="D26" s="61" t="s">
        <v>286</v>
      </c>
      <c r="E26" s="61" t="s">
        <v>287</v>
      </c>
      <c r="F26" s="61" t="s">
        <v>288</v>
      </c>
      <c r="G26" s="61" t="s">
        <v>289</v>
      </c>
      <c r="H26" s="61" t="s">
        <v>290</v>
      </c>
    </row>
    <row r="27" ht="19" customHeight="1" spans="2:8" x14ac:dyDescent="0.25">
      <c r="B27" s="6" t="s">
        <v>291</v>
      </c>
      <c r="C27" s="112">
        <v>1</v>
      </c>
      <c r="D27" s="37">
        <v>100000</v>
      </c>
      <c r="E27" s="37">
        <v>150000</v>
      </c>
      <c r="F27" s="6" t="s">
        <v>292</v>
      </c>
      <c r="G27" s="6" t="s">
        <v>293</v>
      </c>
      <c r="H27" s="6" t="s">
        <v>294</v>
      </c>
    </row>
    <row r="28" ht="19" customHeight="1" spans="2:8" x14ac:dyDescent="0.25">
      <c r="B28" s="62" t="s">
        <v>295</v>
      </c>
      <c r="C28" s="113">
        <v>2</v>
      </c>
      <c r="D28" s="44">
        <v>200000</v>
      </c>
      <c r="E28" s="44">
        <v>300000</v>
      </c>
      <c r="F28" s="62" t="s">
        <v>296</v>
      </c>
      <c r="G28" s="62" t="s">
        <v>293</v>
      </c>
      <c r="H28" s="62" t="s">
        <v>294</v>
      </c>
    </row>
    <row r="29" ht="19" customHeight="1" spans="2:8" x14ac:dyDescent="0.25">
      <c r="B29" s="6" t="s">
        <v>297</v>
      </c>
      <c r="C29" s="112">
        <v>3</v>
      </c>
      <c r="D29" s="37">
        <v>300000</v>
      </c>
      <c r="E29" s="37">
        <v>450000</v>
      </c>
      <c r="F29" s="6" t="s">
        <v>298</v>
      </c>
      <c r="G29" s="6" t="s">
        <v>293</v>
      </c>
      <c r="H29" s="6" t="s">
        <v>294</v>
      </c>
    </row>
    <row r="30" ht="19" customHeight="1" spans="2:8" x14ac:dyDescent="0.25">
      <c r="B30" s="62" t="s">
        <v>299</v>
      </c>
      <c r="C30" s="113">
        <v>4</v>
      </c>
      <c r="D30" s="44">
        <v>400000</v>
      </c>
      <c r="E30" s="44">
        <v>600000</v>
      </c>
      <c r="F30" s="62" t="s">
        <v>300</v>
      </c>
      <c r="G30" s="62" t="s">
        <v>293</v>
      </c>
      <c r="H30" s="62" t="s">
        <v>294</v>
      </c>
    </row>
    <row r="31" ht="19" customHeight="1" spans="2:8" x14ac:dyDescent="0.25">
      <c r="B31" s="6" t="s">
        <v>301</v>
      </c>
      <c r="C31" s="112">
        <v>6</v>
      </c>
      <c r="D31" s="37">
        <v>600000</v>
      </c>
      <c r="E31" s="37">
        <v>900000</v>
      </c>
      <c r="F31" s="6" t="s">
        <v>302</v>
      </c>
      <c r="G31" s="6" t="s">
        <v>293</v>
      </c>
      <c r="H31" s="6" t="s">
        <v>294</v>
      </c>
    </row>
    <row r="32" ht="19" customHeight="1" spans="2:8" x14ac:dyDescent="0.25">
      <c r="B32" s="62" t="s">
        <v>303</v>
      </c>
      <c r="C32" s="113">
        <v>7</v>
      </c>
      <c r="D32" s="44">
        <v>700000</v>
      </c>
      <c r="E32" s="44">
        <v>1050000</v>
      </c>
      <c r="F32" s="62" t="s">
        <v>304</v>
      </c>
      <c r="G32" s="62" t="s">
        <v>293</v>
      </c>
      <c r="H32" s="62" t="s">
        <v>294</v>
      </c>
    </row>
    <row r="33" ht="19" customHeight="1" spans="2:8" x14ac:dyDescent="0.25">
      <c r="B33" s="6" t="s">
        <v>305</v>
      </c>
      <c r="C33" s="112">
        <v>8</v>
      </c>
      <c r="D33" s="37">
        <v>800000</v>
      </c>
      <c r="E33" s="37">
        <v>1200000</v>
      </c>
      <c r="F33" s="6" t="s">
        <v>306</v>
      </c>
      <c r="G33" s="6" t="s">
        <v>293</v>
      </c>
      <c r="H33" s="6" t="s">
        <v>294</v>
      </c>
    </row>
    <row r="34" ht="19" customHeight="1" spans="2:8" x14ac:dyDescent="0.25">
      <c r="B34" s="62" t="s">
        <v>307</v>
      </c>
      <c r="C34" s="113">
        <v>10</v>
      </c>
      <c r="D34" s="44">
        <v>1000000</v>
      </c>
      <c r="E34" s="44">
        <v>1500000</v>
      </c>
      <c r="F34" s="62" t="s">
        <v>308</v>
      </c>
      <c r="G34" s="62" t="s">
        <v>293</v>
      </c>
      <c r="H34" s="62" t="s">
        <v>294</v>
      </c>
    </row>
    <row r="36" ht="22" customHeight="1" spans="2:8" x14ac:dyDescent="0.25">
      <c r="B36" s="83" t="s">
        <v>309</v>
      </c>
      <c r="C36" s="83"/>
      <c r="D36" s="83"/>
      <c r="E36" s="83"/>
      <c r="F36" s="83"/>
      <c r="G36" s="83"/>
      <c r="H36" s="83"/>
    </row>
  </sheetData>
  <mergeCells count="4">
    <mergeCell ref="B2:H2"/>
    <mergeCell ref="B13:H13"/>
    <mergeCell ref="B25:H25"/>
    <mergeCell ref="B36:H3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2-Min Check-In</vt:lpstr>
      <vt:lpstr>Executive Dashboard</vt:lpstr>
      <vt:lpstr>Smart Budget (50-30-20)</vt:lpstr>
      <vt:lpstr>Sinking Funds Shield</vt:lpstr>
      <vt:lpstr>FIRE Freedom Engine</vt:lpstr>
      <vt:lpstr>Debt Avalanche &amp; Snowball</vt:lpstr>
      <vt:lpstr>Fed &amp; State Benchmarks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GetNetWorth Analytics Team</dc:creator>
  <dc:title/>
  <dc:subject/>
  <dc:description/>
  <cp:keywords/>
  <cp:category/>
  <cp:lastModifiedBy>GetNetWorth Analytics Team</cp:lastModifiedBy>
  <dcterms:created xsi:type="dcterms:W3CDTF">2026-10-22T15:07:04Z</dcterms:created>
  <dcterms:modified xsi:type="dcterms:W3CDTF">2026-10-22T15:07:04Z</dcterms:modified>
</cp:coreProperties>
</file>