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ivate Wealth Diagnostic" sheetId="2" state="visible" r:id="rId2"/>
    <sheet name="2-Min Check-In" sheetId="3" state="visible" r:id="rId3"/>
    <sheet name="Executive Dashboard" sheetId="4" state="visible" r:id="rId4"/>
    <sheet name="Smart Budget (50-30-20)" sheetId="5" state="visible" r:id="rId5"/>
    <sheet name="Statement &amp; Expense Ledger" sheetId="6" state="visible" r:id="rId6"/>
    <sheet name="Sinking Funds Shield" sheetId="7" state="visible" r:id="rId7"/>
    <sheet name="FIRE Freedom Engine" sheetId="8" state="visible" r:id="rId8"/>
    <sheet name="Debt Avalanche &amp; Snowball" sheetId="9" state="visible" r:id="rId9"/>
    <sheet name="Fed &amp; State Benchmarks" sheetId="10" state="visible" r:id="rId10"/>
  </sheets>
  <definedNames/>
  <calcPr calcId="124519" fullCalcOnLoad="1"/>
</workbook>
</file>

<file path=xl/styles.xml><?xml version="1.0" encoding="utf-8"?>
<styleSheet xmlns="http://schemas.openxmlformats.org/spreadsheetml/2006/main">
  <numFmts count="23">
    <numFmt numFmtId="164" formatCode="$#,##0"/>
    <numFmt numFmtId="165" formatCode="0.0%"/>
    <numFmt numFmtId="166" formatCode="0.00&quot;x&quot;"/>
    <numFmt numFmtId="167" formatCode="#,##0 &quot;hrs&quot;"/>
    <numFmt numFmtId="168" formatCode="$#,##0.00&quot;/hr&quot;"/>
    <numFmt numFmtId="169" formatCode="mmm yyyy"/>
    <numFmt numFmtId="170" formatCode="+$#,##0;-$#,##0;$0"/>
    <numFmt numFmtId="171" formatCode="+0.0%;-0.0%;0.0%"/>
    <numFmt numFmtId="172" formatCode="+$#,##0;-$#,##0;&quot;$0&quot; Annual Gain"/>
    <numFmt numFmtId="173" formatCode="0.0%&quot; Liquid&quot;"/>
    <numFmt numFmtId="174" formatCode="&quot;Age Cohort: &quot;0&quot; Years&quot;"/>
    <numFmt numFmtId="175" formatCode="0.0%&quot; Funded&quot;"/>
    <numFmt numFmtId="176" formatCode="mmmm yyyy"/>
    <numFmt numFmtId="177" formatCode="0.0&quot; Years Remaining&quot;"/>
    <numFmt numFmtId="178" formatCode="$#,##0/day"/>
    <numFmt numFmtId="179" formatCode="0.0%&quot; (Target ≤50%)&quot;"/>
    <numFmt numFmtId="180" formatCode="0.0%&quot; (Target ≤30%)&quot;"/>
    <numFmt numFmtId="181" formatCode="0.0%&quot; (Target ≥20%)&quot;"/>
    <numFmt numFmtId="182" formatCode="$#,##0.00"/>
    <numFmt numFmtId="183" formatCode="0.0%&quot; of Outflows&quot;"/>
    <numFmt numFmtId="184" formatCode="0.0&quot; Years&quot;"/>
    <numFmt numFmtId="185" formatCode="0&quot; mos&quot;"/>
    <numFmt numFmtId="186" formatCode="0&quot; mos saved&quot;"/>
  </numFmts>
  <fonts count="27">
    <font>
      <name val="Calibri"/>
      <family val="2"/>
      <color theme="1"/>
      <sz val="11"/>
      <scheme val="minor"/>
    </font>
    <font>
      <name val="Arial"/>
      <b val="1"/>
      <color rgb="00FFFFFF"/>
      <sz val="12"/>
    </font>
    <font>
      <name val="Arial"/>
      <i val="1"/>
      <color rgb="00CBD5E1"/>
      <sz val="9"/>
    </font>
    <font>
      <name val="Arial"/>
      <b val="1"/>
      <color rgb="00FFFFFF"/>
      <sz val="10"/>
    </font>
    <font>
      <name val="Arial"/>
      <b val="1"/>
      <color rgb="000F172A"/>
      <sz val="10"/>
    </font>
    <font>
      <name val="Arial"/>
      <color rgb="001E293B"/>
      <sz val="9.5"/>
    </font>
    <font>
      <name val="Arial"/>
      <i val="1"/>
      <color rgb="0064748B"/>
      <sz val="8.5"/>
    </font>
    <font>
      <name val="Arial"/>
      <b val="1"/>
      <color rgb="00FFFFFF"/>
      <sz val="9"/>
    </font>
    <font>
      <name val="Arial"/>
      <b val="1"/>
      <color rgb="00064E3B"/>
      <sz val="10"/>
    </font>
    <font>
      <name val="Arial"/>
      <b val="1"/>
      <color rgb="0010B981"/>
      <sz val="14"/>
    </font>
    <font>
      <name val="Arial"/>
      <b val="1"/>
      <color rgb="0010B981"/>
      <sz val="11"/>
    </font>
    <font>
      <name val="Arial"/>
      <b val="1"/>
      <color rgb="00047857"/>
      <sz val="11"/>
    </font>
    <font>
      <name val="Arial"/>
      <b val="1"/>
      <color rgb="0094A3B8"/>
      <sz val="8.5"/>
    </font>
    <font>
      <name val="Arial"/>
      <b val="1"/>
      <color rgb="00FFFFFF"/>
      <sz val="16"/>
    </font>
    <font>
      <name val="Arial"/>
      <b val="1"/>
      <color rgb="00F59E0B"/>
      <sz val="14"/>
    </font>
    <font>
      <name val="Arial"/>
      <b val="1"/>
      <color rgb="000F172A"/>
      <sz val="11"/>
    </font>
    <font>
      <name val="Arial"/>
      <b val="1"/>
      <color rgb="000F172A"/>
      <sz val="13"/>
    </font>
    <font>
      <name val="Arial"/>
      <b val="1"/>
      <color rgb="0010B981"/>
      <sz val="9"/>
    </font>
    <font>
      <name val="Arial"/>
      <b val="1"/>
      <color rgb="00FFFFFF"/>
      <sz val="15"/>
    </font>
    <font>
      <name val="Arial"/>
      <b val="1"/>
      <color rgb="0010B981"/>
      <sz val="10"/>
    </font>
    <font>
      <name val="Arial"/>
      <b val="1"/>
      <color rgb="0010B981"/>
      <sz val="13"/>
    </font>
    <font>
      <name val="Arial"/>
      <b val="1"/>
      <color rgb="00FFFFFF"/>
      <sz val="13"/>
    </font>
    <font>
      <name val="Arial"/>
      <b val="1"/>
      <color rgb="00064E3B"/>
      <sz val="11"/>
    </font>
    <font>
      <name val="Arial"/>
      <b val="1"/>
      <color rgb="00D97706"/>
      <sz val="11"/>
    </font>
    <font>
      <name val="Arial"/>
      <b val="1"/>
      <color rgb="00047857"/>
      <sz val="10"/>
    </font>
    <font>
      <name val="Arial"/>
      <b val="1"/>
      <color rgb="00047857"/>
      <sz val="12"/>
    </font>
    <font>
      <name val="Arial"/>
      <b val="1"/>
      <color rgb="00F59E0B"/>
      <sz val="10"/>
    </font>
  </fonts>
  <fills count="8">
    <fill>
      <patternFill/>
    </fill>
    <fill>
      <patternFill patternType="gray125"/>
    </fill>
    <fill>
      <patternFill patternType="solid">
        <fgColor rgb="00047857"/>
        <bgColor rgb="00047857"/>
      </patternFill>
    </fill>
    <fill>
      <patternFill patternType="solid">
        <fgColor rgb="000F172A"/>
        <bgColor rgb="000F172A"/>
      </patternFill>
    </fill>
    <fill>
      <patternFill patternType="solid">
        <fgColor rgb="001E293B"/>
        <bgColor rgb="001E293B"/>
      </patternFill>
    </fill>
    <fill>
      <patternFill patternType="solid">
        <fgColor rgb="00D1FAE5"/>
        <bgColor rgb="00D1FAE5"/>
      </patternFill>
    </fill>
    <fill>
      <patternFill patternType="solid">
        <fgColor rgb="00F1F5F9"/>
        <bgColor rgb="00F1F5F9"/>
      </patternFill>
    </fill>
    <fill>
      <patternFill patternType="solid">
        <fgColor rgb="00F8FAFC"/>
        <bgColor rgb="00F8FAFC"/>
      </patternFill>
    </fill>
  </fills>
  <borders count="3">
    <border>
      <left/>
      <right/>
      <top/>
      <bottom/>
      <diagonal/>
    </border>
    <border>
      <left style="thin">
        <color rgb="00CBD5E1"/>
      </left>
      <right style="thin">
        <color rgb="00CBD5E1"/>
      </right>
      <top style="thin">
        <color rgb="00CBD5E1"/>
      </top>
      <bottom style="thin">
        <color rgb="00CBD5E1"/>
      </bottom>
    </border>
    <border>
      <left style="medium">
        <color rgb="00059669"/>
      </left>
      <right style="medium">
        <color rgb="00059669"/>
      </right>
      <top style="medium">
        <color rgb="00059669"/>
      </top>
      <bottom style="medium">
        <color rgb="00059669"/>
      </bottom>
    </border>
  </borders>
  <cellStyleXfs count="1">
    <xf numFmtId="0" fontId="0" fillId="0" borderId="0"/>
  </cellStyleXfs>
  <cellXfs count="10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0" applyAlignment="1" pivotButton="0" quotePrefix="0" xfId="0">
      <alignment horizontal="center" vertical="center"/>
    </xf>
    <xf numFmtId="0" fontId="4" fillId="0" borderId="1" pivotButton="0" quotePrefix="0" xfId="0"/>
    <xf numFmtId="0" fontId="5" fillId="0" borderId="1" pivotButton="0" quotePrefix="0" xfId="0"/>
    <xf numFmtId="0" fontId="6" fillId="0" borderId="1" pivotButton="0" quotePrefix="0" xfId="0"/>
    <xf numFmtId="0" fontId="3" fillId="3" borderId="0" applyAlignment="1" pivotButton="0" quotePrefix="0" xfId="0">
      <alignment horizontal="center" vertical="center"/>
    </xf>
    <xf numFmtId="0" fontId="7" fillId="4" borderId="0" pivotButton="0" quotePrefix="0" xfId="0"/>
    <xf numFmtId="1" fontId="8" fillId="5" borderId="1" applyAlignment="1" applyProtection="1" pivotButton="0" quotePrefix="0" xfId="0">
      <alignment horizontal="right" vertical="center"/>
      <protection locked="0" hidden="0"/>
    </xf>
    <xf numFmtId="164" fontId="8" fillId="5" borderId="1" applyAlignment="1" applyProtection="1" pivotButton="0" quotePrefix="0" xfId="0">
      <alignment horizontal="right" vertical="center"/>
      <protection locked="0" hidden="0"/>
    </xf>
    <xf numFmtId="165" fontId="8" fillId="5" borderId="1" applyAlignment="1" applyProtection="1" pivotButton="0" quotePrefix="0" xfId="0">
      <alignment horizontal="right" vertical="center"/>
      <protection locked="0" hidden="0"/>
    </xf>
    <xf numFmtId="0" fontId="3" fillId="4" borderId="0" applyAlignment="1" pivotButton="0" quotePrefix="0" xfId="0">
      <alignment horizontal="center" vertical="center"/>
    </xf>
    <xf numFmtId="0" fontId="0" fillId="0" borderId="1" pivotButton="0" quotePrefix="0" xfId="0"/>
    <xf numFmtId="0" fontId="6" fillId="6" borderId="0" applyAlignment="1" pivotButton="0" quotePrefix="0" xfId="0">
      <alignment vertical="top" wrapText="1"/>
    </xf>
    <xf numFmtId="0" fontId="7" fillId="3" borderId="1" pivotButton="0" quotePrefix="0" xfId="0"/>
    <xf numFmtId="0" fontId="1" fillId="4" borderId="1" applyAlignment="1" pivotButton="0" quotePrefix="0" xfId="0">
      <alignment horizontal="center" vertical="center"/>
    </xf>
    <xf numFmtId="164" fontId="1" fillId="4" borderId="1" applyAlignment="1" pivotButton="0" quotePrefix="0" xfId="0">
      <alignment horizontal="center" vertical="center"/>
    </xf>
    <xf numFmtId="0" fontId="10" fillId="4" borderId="1" applyAlignment="1" pivotButton="0" quotePrefix="0" xfId="0">
      <alignment horizontal="center" vertical="center"/>
    </xf>
    <xf numFmtId="166" fontId="9" fillId="4" borderId="1" applyAlignment="1" pivotButton="0" quotePrefix="0" xfId="0">
      <alignment horizontal="center" vertical="center"/>
    </xf>
    <xf numFmtId="164"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0" pivotButton="0" quotePrefix="0" xfId="0"/>
    <xf numFmtId="167" fontId="5" fillId="5" borderId="2" applyAlignment="1" applyProtection="1" pivotButton="0" quotePrefix="0" xfId="0">
      <alignment horizontal="right" vertical="center"/>
      <protection locked="0" hidden="0"/>
    </xf>
    <xf numFmtId="164" fontId="5" fillId="5" borderId="2" applyAlignment="1" applyProtection="1" pivotButton="0" quotePrefix="0" xfId="0">
      <alignment horizontal="right" vertical="center"/>
      <protection locked="0" hidden="0"/>
    </xf>
    <xf numFmtId="168" fontId="11" fillId="0" borderId="1" applyAlignment="1" pivotButton="0" quotePrefix="0" xfId="0">
      <alignment horizontal="right" vertical="center"/>
    </xf>
    <xf numFmtId="0" fontId="7" fillId="4" borderId="1" applyAlignment="1" pivotButton="0" quotePrefix="0" xfId="0">
      <alignment horizontal="center" vertical="center"/>
    </xf>
    <xf numFmtId="0" fontId="7" fillId="2" borderId="1" applyAlignment="1" pivotButton="0" quotePrefix="0" xfId="0">
      <alignment horizontal="center" vertical="center"/>
    </xf>
    <xf numFmtId="0" fontId="7" fillId="3" borderId="1" applyAlignment="1" pivotButton="0" quotePrefix="0" xfId="0">
      <alignment horizontal="center" vertical="center"/>
    </xf>
    <xf numFmtId="169" fontId="4" fillId="0" borderId="1" applyAlignment="1" pivotButton="0" quotePrefix="0" xfId="0">
      <alignment horizontal="center" vertical="center"/>
    </xf>
    <xf numFmtId="164" fontId="8" fillId="5" borderId="2" applyAlignment="1" applyProtection="1" pivotButton="0" quotePrefix="0" xfId="0">
      <alignment horizontal="right" vertical="center"/>
      <protection locked="0" hidden="0"/>
    </xf>
    <xf numFmtId="164" fontId="8"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165" fontId="5" fillId="0" borderId="1" applyAlignment="1" pivotButton="0" quotePrefix="0" xfId="0">
      <alignment horizontal="right" vertical="center"/>
    </xf>
    <xf numFmtId="0" fontId="1" fillId="3" borderId="1" pivotButton="0" quotePrefix="0" xfId="0"/>
    <xf numFmtId="164" fontId="1" fillId="4" borderId="1" applyAlignment="1" pivotButton="0" quotePrefix="0" xfId="0">
      <alignment horizontal="right" vertical="center"/>
    </xf>
    <xf numFmtId="164" fontId="10" fillId="3" borderId="1" applyAlignment="1" pivotButton="0" quotePrefix="0" xfId="0">
      <alignment horizontal="right" vertical="center"/>
    </xf>
    <xf numFmtId="170" fontId="1" fillId="3" borderId="1" applyAlignment="1" pivotButton="0" quotePrefix="0" xfId="0">
      <alignment horizontal="right" vertical="center"/>
    </xf>
    <xf numFmtId="171" fontId="1" fillId="3" borderId="1" applyAlignment="1" pivotButton="0" quotePrefix="0" xfId="0">
      <alignment horizontal="right" vertical="center"/>
    </xf>
    <xf numFmtId="164" fontId="1" fillId="3" borderId="1" applyAlignment="1" pivotButton="0" quotePrefix="0" xfId="0">
      <alignment horizontal="right" vertical="center"/>
    </xf>
    <xf numFmtId="165" fontId="1" fillId="3" borderId="1" applyAlignment="1" pivotButton="0" quotePrefix="0" xfId="0">
      <alignment horizontal="right" vertical="center"/>
    </xf>
    <xf numFmtId="0" fontId="12" fillId="4" borderId="1" pivotButton="0" quotePrefix="0" xfId="0"/>
    <xf numFmtId="164" fontId="13" fillId="4" borderId="1" applyAlignment="1" pivotButton="0" quotePrefix="0" xfId="0">
      <alignment horizontal="left" vertical="center"/>
    </xf>
    <xf numFmtId="0" fontId="14" fillId="4" borderId="1" applyAlignment="1" pivotButton="0" quotePrefix="0" xfId="0">
      <alignment horizontal="left" vertical="center"/>
    </xf>
    <xf numFmtId="172" fontId="2" fillId="4" borderId="1" pivotButton="0" quotePrefix="0" xfId="0"/>
    <xf numFmtId="173" fontId="2" fillId="4" borderId="1" pivotButton="0" quotePrefix="0" xfId="0"/>
    <xf numFmtId="174" fontId="2" fillId="4" borderId="1" pivotButton="0" quotePrefix="0" xfId="0"/>
    <xf numFmtId="0" fontId="7" fillId="4" borderId="1" pivotButton="0" quotePrefix="0" xfId="0"/>
    <xf numFmtId="1" fontId="15" fillId="0" borderId="1" applyAlignment="1" pivotButton="0" quotePrefix="0" xfId="0">
      <alignment horizontal="center" vertical="center"/>
    </xf>
    <xf numFmtId="164" fontId="15" fillId="0" borderId="1" applyAlignment="1" pivotButton="0" quotePrefix="0" xfId="0">
      <alignment horizontal="center" vertical="center"/>
    </xf>
    <xf numFmtId="166" fontId="15" fillId="0" borderId="1" applyAlignment="1" pivotButton="0" quotePrefix="0" xfId="0">
      <alignment horizontal="center" vertical="center"/>
    </xf>
    <xf numFmtId="0" fontId="10" fillId="0" borderId="1" applyAlignment="1" pivotButton="0" quotePrefix="0" xfId="0">
      <alignment horizontal="center" vertical="center"/>
    </xf>
    <xf numFmtId="164" fontId="16" fillId="0" borderId="1" applyAlignment="1" pivotButton="0" quotePrefix="0" xfId="0">
      <alignment horizontal="center" vertical="center"/>
    </xf>
    <xf numFmtId="176" fontId="16" fillId="0" borderId="1" applyAlignment="1" pivotButton="0" quotePrefix="0" xfId="0">
      <alignment horizontal="center" vertical="center"/>
    </xf>
    <xf numFmtId="175" fontId="6" fillId="0" borderId="1" applyAlignment="1" pivotButton="0" quotePrefix="0" xfId="0">
      <alignment horizontal="center" vertical="center"/>
    </xf>
    <xf numFmtId="0" fontId="6" fillId="0" borderId="1" applyAlignment="1" pivotButton="0" quotePrefix="0" xfId="0">
      <alignment horizontal="center" vertical="center"/>
    </xf>
    <xf numFmtId="177" fontId="6" fillId="0" borderId="1" applyAlignment="1" pivotButton="0" quotePrefix="0" xfId="0">
      <alignment horizontal="center" vertical="center"/>
    </xf>
    <xf numFmtId="0" fontId="17" fillId="4" borderId="1" pivotButton="0" quotePrefix="0" xfId="0"/>
    <xf numFmtId="164" fontId="13" fillId="4" borderId="1" pivotButton="0" quotePrefix="0" xfId="0"/>
    <xf numFmtId="178" fontId="18" fillId="4" borderId="1" pivotButton="0" quotePrefix="0" xfId="0"/>
    <xf numFmtId="0" fontId="3" fillId="2" borderId="0" pivotButton="0" quotePrefix="0" xfId="0"/>
    <xf numFmtId="164" fontId="5" fillId="0" borderId="1" pivotButton="0" quotePrefix="0" xfId="0"/>
    <xf numFmtId="0" fontId="4" fillId="7" borderId="1" pivotButton="0" quotePrefix="0" xfId="0"/>
    <xf numFmtId="164" fontId="4" fillId="7" borderId="1" pivotButton="0" quotePrefix="0" xfId="0"/>
    <xf numFmtId="0" fontId="0" fillId="7" borderId="1" pivotButton="0" quotePrefix="0" xfId="0"/>
    <xf numFmtId="0" fontId="3" fillId="3" borderId="0" pivotButton="0" quotePrefix="0" xfId="0"/>
    <xf numFmtId="179" fontId="0" fillId="7" borderId="1" pivotButton="0" quotePrefix="0" xfId="0"/>
    <xf numFmtId="180" fontId="0" fillId="7" borderId="1" pivotButton="0" quotePrefix="0" xfId="0"/>
    <xf numFmtId="181" fontId="0" fillId="7" borderId="1" pivotButton="0" quotePrefix="0" xfId="0"/>
    <xf numFmtId="0" fontId="19" fillId="3" borderId="1" applyAlignment="1" pivotButton="0" quotePrefix="0" xfId="0">
      <alignment horizontal="center" vertical="center"/>
    </xf>
    <xf numFmtId="182" fontId="20" fillId="4" borderId="1" applyAlignment="1" pivotButton="0" quotePrefix="0" xfId="0">
      <alignment horizontal="center" vertical="center"/>
    </xf>
    <xf numFmtId="182" fontId="21" fillId="4" borderId="1" applyAlignment="1" pivotButton="0" quotePrefix="0" xfId="0">
      <alignment horizontal="center" vertical="center"/>
    </xf>
    <xf numFmtId="0" fontId="2" fillId="4" borderId="1" applyAlignment="1" pivotButton="0" quotePrefix="0" xfId="0">
      <alignment horizontal="center" vertical="center"/>
    </xf>
    <xf numFmtId="183" fontId="2" fillId="4" borderId="1" applyAlignment="1" pivotButton="0" quotePrefix="0" xfId="0">
      <alignment horizontal="center" vertical="center"/>
    </xf>
    <xf numFmtId="0" fontId="6" fillId="7" borderId="1" applyAlignment="1" pivotButton="0" quotePrefix="0" xfId="0">
      <alignment vertical="center" wrapText="1"/>
    </xf>
    <xf numFmtId="0" fontId="5" fillId="0" borderId="1" applyProtection="1" pivotButton="0" quotePrefix="0" xfId="0">
      <protection locked="0" hidden="0"/>
    </xf>
    <xf numFmtId="0" fontId="4" fillId="0" borderId="1" applyProtection="1" pivotButton="0" quotePrefix="0" xfId="0">
      <protection locked="0" hidden="0"/>
    </xf>
    <xf numFmtId="182" fontId="5" fillId="0" borderId="1" applyAlignment="1" applyProtection="1" pivotButton="0" quotePrefix="0" xfId="0">
      <alignment horizontal="right" vertical="center"/>
      <protection locked="0" hidden="0"/>
    </xf>
    <xf numFmtId="0" fontId="6" fillId="0" borderId="1" applyProtection="1" pivotButton="0" quotePrefix="0" xfId="0">
      <protection locked="0" hidden="0"/>
    </xf>
    <xf numFmtId="0" fontId="5" fillId="0" borderId="1" applyAlignment="1" applyProtection="1" pivotButton="0" quotePrefix="0" xfId="0">
      <alignment horizontal="center" vertical="center"/>
      <protection locked="0" hidden="0"/>
    </xf>
    <xf numFmtId="0" fontId="4" fillId="0" borderId="1" applyAlignment="1" pivotButton="0" quotePrefix="0" xfId="0">
      <alignment horizontal="center" vertical="center"/>
    </xf>
    <xf numFmtId="0" fontId="1" fillId="3" borderId="1" applyAlignment="1" pivotButton="0" quotePrefix="0" xfId="0">
      <alignment horizontal="center" vertical="center"/>
    </xf>
    <xf numFmtId="175" fontId="1" fillId="3" borderId="1" applyAlignment="1" pivotButton="0" quotePrefix="0" xfId="0">
      <alignment horizontal="center" vertical="center"/>
    </xf>
    <xf numFmtId="0" fontId="3" fillId="4" borderId="0" pivotButton="0" quotePrefix="0" xfId="0"/>
    <xf numFmtId="1" fontId="1" fillId="4" borderId="1" applyAlignment="1" pivotButton="0" quotePrefix="0" xfId="0">
      <alignment horizontal="center" vertical="center"/>
    </xf>
    <xf numFmtId="165" fontId="1" fillId="4" borderId="1" applyAlignment="1" pivotButton="0" quotePrefix="0" xfId="0">
      <alignment horizontal="center" vertical="center"/>
    </xf>
    <xf numFmtId="164" fontId="22" fillId="0" borderId="1" applyAlignment="1" pivotButton="0" quotePrefix="0" xfId="0">
      <alignment horizontal="right" vertical="center"/>
    </xf>
    <xf numFmtId="184" fontId="23" fillId="0" borderId="1" applyAlignment="1" pivotButton="0" quotePrefix="0" xfId="0">
      <alignment horizontal="right" vertical="center"/>
    </xf>
    <xf numFmtId="0" fontId="24" fillId="0" borderId="1" pivotButton="0" quotePrefix="0" xfId="0"/>
    <xf numFmtId="176" fontId="25" fillId="0" borderId="1" applyAlignment="1" pivotButton="0" quotePrefix="0" xfId="0">
      <alignment horizontal="center" vertical="center"/>
    </xf>
    <xf numFmtId="10" fontId="8" fillId="5" borderId="1" applyAlignment="1" applyProtection="1" pivotButton="0" quotePrefix="0" xfId="0">
      <alignment horizontal="right" vertical="center"/>
      <protection locked="0" hidden="0"/>
    </xf>
    <xf numFmtId="10" fontId="26" fillId="3" borderId="1" applyAlignment="1" pivotButton="0" quotePrefix="0" xfId="0">
      <alignment horizontal="right" vertical="center"/>
    </xf>
    <xf numFmtId="0" fontId="6" fillId="3" borderId="1" applyAlignment="1" pivotButton="0" quotePrefix="0" xfId="0">
      <alignment horizontal="center" vertical="center"/>
    </xf>
    <xf numFmtId="0" fontId="4" fillId="0" borderId="0" pivotButton="0" quotePrefix="0" xfId="0"/>
    <xf numFmtId="0" fontId="6" fillId="0" borderId="0" pivotButton="0" quotePrefix="0" xfId="0"/>
    <xf numFmtId="0" fontId="0" fillId="3" borderId="1" pivotButton="0" quotePrefix="0" xfId="0"/>
    <xf numFmtId="185" fontId="5" fillId="0" borderId="1" pivotButton="0" quotePrefix="0" xfId="0"/>
    <xf numFmtId="186" fontId="6" fillId="0" borderId="1" pivotButton="0" quotePrefix="0" xfId="0"/>
    <xf numFmtId="164" fontId="6" fillId="0" borderId="1" pivotButton="0" quotePrefix="0" xfId="0"/>
    <xf numFmtId="164" fontId="10" fillId="0" borderId="1" pivotButton="0" quotePrefix="0" xfId="0"/>
    <xf numFmtId="164" fontId="0" fillId="0" borderId="1" pivotButton="0" quotePrefix="0" xfId="0"/>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13"/>
  <chart>
    <title>
      <tx>
        <rich>
          <a:bodyPr/>
          <a:p>
            <a:pPr>
              <a:defRPr/>
            </a:pPr>
            <a:r>
              <a:t>📈 12-Month Net Worth Trajectory</a:t>
            </a:r>
          </a:p>
        </rich>
      </tx>
    </title>
    <plotArea>
      <lineChart>
        <grouping val="standard"/>
        <ser>
          <idx val="0"/>
          <order val="0"/>
          <tx>
            <strRef>
              <f>'2-Min Check-In'!G5</f>
            </strRef>
          </tx>
          <spPr>
            <a:ln>
              <a:prstDash val="solid"/>
            </a:ln>
          </spPr>
          <marker>
            <symbol val="none"/>
            <spPr>
              <a:ln>
                <a:prstDash val="solid"/>
              </a:ln>
            </spPr>
          </marker>
          <cat>
            <numRef>
              <f>'2-Min Check-In'!$B$6:$B$17</f>
            </numRef>
          </cat>
          <val>
            <numRef>
              <f>'2-Min Check-In'!$G$6:$G$17</f>
            </numRef>
          </val>
        </ser>
        <axId val="10"/>
        <axId val="100"/>
      </lineChart>
      <catAx>
        <axId val="10"/>
        <scaling>
          <orientation val="minMax"/>
        </scaling>
        <axPos val="l"/>
        <numFmt formatCode="mmm yyyy" sourceLinked="0"/>
        <majorTickMark val="none"/>
        <minorTickMark val="none"/>
        <crossAx val="100"/>
        <lblOffset val="100"/>
      </catAx>
      <valAx>
        <axId val="100"/>
        <scaling>
          <orientation val="minMax"/>
        </scaling>
        <axPos val="l"/>
        <majorGridlines/>
        <title>
          <tx>
            <rich>
              <a:bodyPr/>
              <a:p>
                <a:pPr>
                  <a:defRPr/>
                </a:pPr>
                <a:r>
                  <a:t>Net Worth ($)</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 Monthly Cash, Investments &amp; Debts</a:t>
            </a:r>
          </a:p>
        </rich>
      </tx>
    </title>
    <plotArea>
      <barChart>
        <barDir val="col"/>
        <grouping val="clustered"/>
        <ser>
          <idx val="0"/>
          <order val="0"/>
          <tx>
            <strRef>
              <f>'2-Min Check-In'!C5</f>
            </strRef>
          </tx>
          <spPr>
            <a:ln>
              <a:prstDash val="solid"/>
            </a:ln>
          </spPr>
          <cat>
            <numRef>
              <f>'2-Min Check-In'!$B$6:$B$17</f>
            </numRef>
          </cat>
          <val>
            <numRef>
              <f>'2-Min Check-In'!$C$6:$C$17</f>
            </numRef>
          </val>
        </ser>
        <ser>
          <idx val="1"/>
          <order val="1"/>
          <tx>
            <strRef>
              <f>'2-Min Check-In'!D5</f>
            </strRef>
          </tx>
          <spPr>
            <a:ln>
              <a:prstDash val="solid"/>
            </a:ln>
          </spPr>
          <cat>
            <numRef>
              <f>'2-Min Check-In'!$B$6:$B$17</f>
            </numRef>
          </cat>
          <val>
            <numRef>
              <f>'2-Min Check-In'!$D$6:$D$17</f>
            </numRef>
          </val>
        </ser>
        <ser>
          <idx val="2"/>
          <order val="2"/>
          <tx>
            <strRef>
              <f>'2-Min Check-In'!E5</f>
            </strRef>
          </tx>
          <spPr>
            <a:ln>
              <a:prstDash val="solid"/>
            </a:ln>
          </spPr>
          <cat>
            <numRef>
              <f>'2-Min Check-In'!$B$6:$B$17</f>
            </numRef>
          </cat>
          <val>
            <numRef>
              <f>'2-Min Check-In'!$E$6:$E$17</f>
            </numRef>
          </val>
        </ser>
        <ser>
          <idx val="3"/>
          <order val="3"/>
          <tx>
            <strRef>
              <f>'2-Min Check-In'!F5</f>
            </strRef>
          </tx>
          <spPr>
            <a:ln>
              <a:prstDash val="solid"/>
            </a:ln>
          </spPr>
          <cat>
            <numRef>
              <f>'2-Min Check-In'!$B$6:$B$17</f>
            </numRef>
          </cat>
          <val>
            <numRef>
              <f>'2-Min Check-In'!$F$6:$F$17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20</row>
      <rowOff>0</rowOff>
    </from>
    <ext cx="5760000" cy="30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17</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B2:D41"/>
  <sheetViews>
    <sheetView showGridLines="1" workbookViewId="0">
      <selection activeCell="A1" sqref="A1"/>
    </sheetView>
  </sheetViews>
  <sheetFormatPr baseColWidth="8" defaultRowHeight="15" outlineLevelCol="0"/>
  <cols>
    <col width="3" customWidth="1" min="1" max="1"/>
    <col width="28" customWidth="1" min="2" max="2"/>
    <col width="32" customWidth="1" min="3" max="3"/>
    <col width="56" customWidth="1" min="4" max="4"/>
    <col width="3" customWidth="1" min="5" max="5"/>
  </cols>
  <sheetData>
    <row r="2" ht="28" customHeight="1">
      <c r="B2" s="1" t="inlineStr">
        <is>
          <t>🏛️ GETNETWORTH • MASTER WEALTH &amp; BUDGET OPERATING SYSTEM</t>
        </is>
      </c>
    </row>
    <row r="3" ht="20" customHeight="1">
      <c r="B3" s="2" t="inlineStr">
        <is>
          <t>Official 2026 Edition | Benchmarked Against US Federal Reserve SCF Triennial Data</t>
        </is>
      </c>
    </row>
    <row r="5" ht="22" customHeight="1">
      <c r="B5" s="3" t="inlineStr">
        <is>
          <t>⚡ THE 2-MINUTE MONTHLY HABIT (HOW THIS SYSTEM WORKS)</t>
        </is>
      </c>
    </row>
    <row r="6" ht="20" customHeight="1">
      <c r="B6" s="4" t="inlineStr">
        <is>
          <t>Step 1: Set Profile Once</t>
        </is>
      </c>
      <c r="C6" s="5" t="inlineStr">
        <is>
          <t>Complete the Setup Area below</t>
        </is>
      </c>
      <c r="D6" s="6" t="inlineStr">
        <is>
          <t>Type your age, income, and start date. Every formula across all tabs links here.</t>
        </is>
      </c>
    </row>
    <row r="7" ht="20" customHeight="1">
      <c r="B7" s="4" t="inlineStr">
        <is>
          <t>Step 2: Monthly Check-In</t>
        </is>
      </c>
      <c r="C7" s="5" t="inlineStr">
        <is>
          <t>Type 4 Numbers on the 1st</t>
        </is>
      </c>
      <c r="D7" s="6" t="inlineStr">
        <is>
          <t>Open '2-Min Check-In' on the 1st of each month: enter Cash, Investments, Property &amp; Debts.</t>
        </is>
      </c>
    </row>
    <row r="8" ht="20" customHeight="1">
      <c r="B8" s="4" t="inlineStr">
        <is>
          <t>Step 3: Review Intelligence</t>
        </is>
      </c>
      <c r="C8" s="5" t="inlineStr">
        <is>
          <t>Relax &amp; Compound Capital</t>
        </is>
      </c>
      <c r="D8" s="6" t="inlineStr">
        <is>
          <t>Your Net Worth, Fed Percentile, Safe Daily Spend, and FIRE Freedom Date calculate live.</t>
        </is>
      </c>
    </row>
    <row r="10" ht="22" customHeight="1">
      <c r="B10" s="7" t="inlineStr">
        <is>
          <t>⚙️ MASTER SETUP &amp; PROFILE (ENTER ONCE — POWERS ALL 8 TABS)</t>
        </is>
      </c>
    </row>
    <row r="11" ht="20" customHeight="1">
      <c r="B11" s="8" t="inlineStr">
        <is>
          <t>Setup Parameter</t>
        </is>
      </c>
      <c r="C11" s="8" t="inlineStr">
        <is>
          <t>Your Value (Green Input)</t>
        </is>
      </c>
      <c r="D11" s="8" t="inlineStr">
        <is>
          <t>How It Feeds Your Vault</t>
        </is>
      </c>
    </row>
    <row r="12" ht="20" customHeight="1">
      <c r="B12" s="4" t="inlineStr">
        <is>
          <t>Your Current Age</t>
        </is>
      </c>
      <c r="C12" s="9" t="n">
        <v>32</v>
      </c>
      <c r="D12" s="6" t="inlineStr">
        <is>
          <t>Feeds Fed Benchmarks, Stanley &amp; Danko PAW, and FIRE timeline</t>
        </is>
      </c>
    </row>
    <row r="13" ht="20" customHeight="1">
      <c r="B13" s="4" t="inlineStr">
        <is>
          <t>Pre-Tax Annual Household Income</t>
        </is>
      </c>
      <c r="C13" s="10" t="n">
        <v>108000</v>
      </c>
      <c r="D13" s="6" t="inlineStr">
        <is>
          <t>Used for Expected Net Worth and Wealth Tier categorization</t>
        </is>
      </c>
    </row>
    <row r="14" ht="20" customHeight="1">
      <c r="B14" s="4" t="inlineStr">
        <is>
          <t>Target Retirement / Independence Age</t>
        </is>
      </c>
      <c r="C14" s="9" t="n">
        <v>60</v>
      </c>
      <c r="D14" s="6" t="inlineStr">
        <is>
          <t>Used in Coast FIRE compounding and Freedom Countdown</t>
        </is>
      </c>
    </row>
    <row r="15" ht="20" customHeight="1">
      <c r="B15" s="4" t="inlineStr">
        <is>
          <t>Target Annual Spending in Retirement</t>
        </is>
      </c>
      <c r="C15" s="10" t="n">
        <v>66000</v>
      </c>
      <c r="D15" s="6" t="inlineStr">
        <is>
          <t>Used to calculate your 4% Standard and Lean FIRE targets</t>
        </is>
      </c>
    </row>
    <row r="16" ht="20" customHeight="1">
      <c r="B16" s="4" t="inlineStr">
        <is>
          <t>Safe Withdrawal Rate (SWR)</t>
        </is>
      </c>
      <c r="C16" s="11" t="n">
        <v>0.04</v>
      </c>
      <c r="D16" s="6" t="inlineStr">
        <is>
          <t>Standard Trinity 4% rule (customizable for 3.5% or 3.0%)</t>
        </is>
      </c>
    </row>
    <row r="17" ht="20" customHeight="1">
      <c r="B17" s="4" t="inlineStr">
        <is>
          <t>Expected Real Return After Inflation</t>
        </is>
      </c>
      <c r="C17" s="11" t="n">
        <v>0.07000000000000001</v>
      </c>
      <c r="D17" s="6" t="inlineStr">
        <is>
          <t>Historical stock index real return (typically 6% to 8%)</t>
        </is>
      </c>
    </row>
    <row r="18" ht="20" customHeight="1">
      <c r="B18" s="4" t="inlineStr">
        <is>
          <t>Lean FIRE Spending Ratio</t>
        </is>
      </c>
      <c r="C18" s="11" t="n">
        <v>0.65</v>
      </c>
      <c r="D18" s="6" t="inlineStr">
        <is>
          <t>Survival spending baseline relative to full target (default 65%)</t>
        </is>
      </c>
    </row>
    <row r="19" ht="20" customHeight="1">
      <c r="B19" s="4" t="inlineStr">
        <is>
          <t>Check-In Start Year</t>
        </is>
      </c>
      <c r="C19" s="9" t="n">
        <v>2026</v>
      </c>
      <c r="D19" s="6" t="inlineStr">
        <is>
          <t>Sets the calendar year for your 12-month check-in ledger</t>
        </is>
      </c>
    </row>
    <row r="20" ht="20" customHeight="1">
      <c r="B20" s="4" t="inlineStr">
        <is>
          <t>Check-In Start Month (1 = Jan, 10 = Oct)</t>
        </is>
      </c>
      <c r="C20" s="9" t="n">
        <v>1</v>
      </c>
      <c r="D20" s="6" t="inlineStr">
        <is>
          <t>Rolls forward dynamically from your chosen start month</t>
        </is>
      </c>
    </row>
    <row r="22" ht="22" customHeight="1">
      <c r="B22" s="12" t="inlineStr">
        <is>
          <t>🎨 WORKBOOK GUARDRAILS &amp; COLOR CODES</t>
        </is>
      </c>
    </row>
    <row r="23" ht="19" customHeight="1">
      <c r="B23" s="4" t="inlineStr">
        <is>
          <t>🟩 GREEN CELLS</t>
        </is>
      </c>
      <c r="C23" s="5" t="inlineStr">
        <is>
          <t>Your Editable Inputs</t>
        </is>
      </c>
      <c r="D23" s="6" t="inlineStr">
        <is>
          <t>Enter your numbers here. All green cells are unlocked.</t>
        </is>
      </c>
    </row>
    <row r="24" ht="19" customHeight="1">
      <c r="B24" s="4" t="inlineStr">
        <is>
          <t>⬛ DARK / SLATE CELLS</t>
        </is>
      </c>
      <c r="C24" s="5" t="inlineStr">
        <is>
          <t>Protected Math Engine</t>
        </is>
      </c>
      <c r="D24" s="6" t="inlineStr">
        <is>
          <t>Formulas calculate automatically. Locked to prevent accidental breakage.</t>
        </is>
      </c>
    </row>
    <row r="25" ht="19" customHeight="1">
      <c r="B25" s="4" t="inlineStr">
        <is>
          <t>🟨 GOLD / AMBER CELLS</t>
        </is>
      </c>
      <c r="C25" s="5" t="inlineStr">
        <is>
          <t>Key Milestone Benchmarks</t>
        </is>
      </c>
      <c r="D25" s="6" t="inlineStr">
        <is>
          <t>Displays your Federal Reserve Rank, Wealth Tier, and FIRE status.</t>
        </is>
      </c>
    </row>
    <row r="27" ht="22" customHeight="1">
      <c r="B27" s="3" t="inlineStr">
        <is>
          <t>📖 TAB DIRECTORY &amp; WORKFLOW</t>
        </is>
      </c>
    </row>
    <row r="28" ht="19" customHeight="1">
      <c r="B28" s="4" t="inlineStr">
        <is>
          <t>1. START HERE</t>
        </is>
      </c>
      <c r="C28" s="5" t="inlineStr">
        <is>
          <t>Master setup area, user manual, methodology citations &amp; legal notices.</t>
        </is>
      </c>
      <c r="D28" s="13" t="n"/>
    </row>
    <row r="29" ht="19" customHeight="1">
      <c r="B29" s="4" t="inlineStr">
        <is>
          <t>2. Private Wealth Diagnostic</t>
        </is>
      </c>
      <c r="C29" s="5" t="inlineStr">
        <is>
          <t>Instant baseline: Stanley &amp; Danko PAW tier, leak audit &amp; true hourly wage.</t>
        </is>
      </c>
      <c r="D29" s="13" t="n"/>
    </row>
    <row r="30" ht="19" customHeight="1">
      <c r="B30" s="4" t="inlineStr">
        <is>
          <t>3. 2-Min Check-In</t>
        </is>
      </c>
      <c r="C30" s="5" t="inlineStr">
        <is>
          <t>Monthly routine: 4 numbers once a month with rolling open-ended calendar.</t>
        </is>
      </c>
      <c r="D30" s="13" t="n"/>
    </row>
    <row r="31" ht="19" customHeight="1">
      <c r="B31" s="4" t="inlineStr">
        <is>
          <t>4. Executive Dashboard</t>
        </is>
      </c>
      <c r="C31" s="5" t="inlineStr">
        <is>
          <t>Visual dashboard with dynamic Fed rank, FIRE counters, and trajectory chart.</t>
        </is>
      </c>
      <c r="D31" s="13" t="n"/>
    </row>
    <row r="32" ht="19" customHeight="1">
      <c r="B32" s="4" t="inlineStr">
        <is>
          <t>5. Smart Budget (50-30-20)</t>
        </is>
      </c>
      <c r="C32" s="5" t="inlineStr">
        <is>
          <t>Answers 'How much can I spend today guilt-free?' with live spending buffer.</t>
        </is>
      </c>
      <c r="D32" s="13" t="n"/>
    </row>
    <row r="33" ht="19" customHeight="1">
      <c r="B33" s="4" t="inlineStr">
        <is>
          <t>6. Statement &amp; Expense Ledger</t>
        </is>
      </c>
      <c r="C33" s="5" t="inlineStr">
        <is>
          <t>Private drop-zone for bank statements with live 50/30/20 summary cards.</t>
        </is>
      </c>
      <c r="D33" s="13" t="n"/>
    </row>
    <row r="34" ht="19" customHeight="1">
      <c r="B34" s="4" t="inlineStr">
        <is>
          <t>7. Sinking Funds Shield</t>
        </is>
      </c>
      <c r="C34" s="5" t="inlineStr">
        <is>
          <t>Target funds protecting against car repairs, travel, and annual shocks.</t>
        </is>
      </c>
      <c r="D34" s="13" t="n"/>
    </row>
    <row r="35" ht="19" customHeight="1">
      <c r="B35" s="4" t="inlineStr">
        <is>
          <t>8. FIRE Freedom Engine</t>
        </is>
      </c>
      <c r="C35" s="5" t="inlineStr">
        <is>
          <t>Coast, Lean, Standard &amp; Fat FIRE milestones with dynamic freedom date.</t>
        </is>
      </c>
      <c r="D35" s="13" t="n"/>
    </row>
    <row r="36" ht="19" customHeight="1">
      <c r="B36" s="4" t="inlineStr">
        <is>
          <t>9. Debt Accelerator</t>
        </is>
      </c>
      <c r="C36" s="5" t="inlineStr">
        <is>
          <t>Ranked Avalanche vs Snowball schedule with exact interest savings.</t>
        </is>
      </c>
      <c r="D36" s="13" t="n"/>
    </row>
    <row r="37" ht="19" customHeight="1">
      <c r="B37" s="4" t="inlineStr">
        <is>
          <t>10. Fed &amp; State Benchmarks</t>
        </is>
      </c>
      <c r="C37" s="5" t="inlineStr">
        <is>
          <t>Raw 2022 Federal Reserve SCF survey tables &amp; state cost-of-living index.</t>
        </is>
      </c>
      <c r="D37" s="13" t="n"/>
    </row>
    <row r="39" ht="22" customHeight="1">
      <c r="B39" s="7" t="inlineStr">
        <is>
          <t>⚖️ DATA SOURCING &amp; EDUCATIONAL DISCLAIMER</t>
        </is>
      </c>
    </row>
    <row r="40" ht="30" customHeight="1">
      <c r="B40" s="14" t="inlineStr">
        <is>
          <t>1. Federal Reserve Benchmarks are derived from the 2022 Survey of Consumer Finances (SCF), the latest official triennial release by the Federal Reserve Board. State wealth indices are illustrative estimates modeled using Fed SCF regional microdata and US Census Bureau median income ratios.
2. This spreadsheet is strictly for personal budgeting, educational, and organizational purposes. It does not constitute financial, investment, accounting, tax, or legal advice. Consult a licensed CFP or CPA for specific financial planning.</t>
        </is>
      </c>
    </row>
    <row r="41" ht="30" customHeight="1"/>
  </sheetData>
  <sheetProtection selectLockedCells="0" selectUnlockedCells="0" sheet="1" objects="0" insertRows="1" insertHyperlinks="1" autoFilter="1" scenarios="0" formatColumns="1" deleteColumns="1" insertColumns="1" pivotTables="1" deleteRows="1" formatCells="1" formatRows="1" sort="1"/>
  <mergeCells count="18">
    <mergeCell ref="B10:D10"/>
    <mergeCell ref="C34:D34"/>
    <mergeCell ref="B3:D3"/>
    <mergeCell ref="B5:D5"/>
    <mergeCell ref="C29:D29"/>
    <mergeCell ref="C30:D30"/>
    <mergeCell ref="C32:D32"/>
    <mergeCell ref="B40:D41"/>
    <mergeCell ref="C33:D33"/>
    <mergeCell ref="B22:D22"/>
    <mergeCell ref="C37:D37"/>
    <mergeCell ref="B27:D27"/>
    <mergeCell ref="C28:D28"/>
    <mergeCell ref="C36:D36"/>
    <mergeCell ref="B39:D39"/>
    <mergeCell ref="C31:D31"/>
    <mergeCell ref="B2:D2"/>
    <mergeCell ref="C35:D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21"/>
  <sheetViews>
    <sheetView showGridLines="1" workbookViewId="0">
      <selection activeCell="A1" sqref="A1"/>
    </sheetView>
  </sheetViews>
  <sheetFormatPr baseColWidth="8" defaultRowHeight="15" outlineLevelCol="0"/>
  <cols>
    <col width="3" customWidth="1" min="1" max="1"/>
    <col width="34" customWidth="1" min="2" max="2"/>
    <col width="34" customWidth="1" min="3" max="3"/>
    <col width="36" customWidth="1" min="4" max="4"/>
    <col width="3" customWidth="1" min="5" max="5"/>
  </cols>
  <sheetData>
    <row r="2" ht="28" customHeight="1">
      <c r="B2" s="1" t="inlineStr">
        <is>
          <t>🏛️ PRIVATE WEALTH DIAGNOSTIC &amp; ACCUMULATION BENCHMARK</t>
        </is>
      </c>
    </row>
    <row r="3" ht="20" customHeight="1">
      <c r="B3" s="2" t="inlineStr">
        <is>
          <t>Stanley &amp; Danko PAW/AAW/UAW Engine • Capital Leaks Audit • True Hourly Wage Metric</t>
        </is>
      </c>
    </row>
    <row r="5" ht="22" customHeight="1">
      <c r="B5" s="12" t="inlineStr">
        <is>
          <t>🎯 WEALTH ACCUMULATION TIER (READS FROM MASTER SETUP)</t>
        </is>
      </c>
    </row>
    <row r="6" ht="20" customHeight="1">
      <c r="B6" s="15" t="inlineStr">
        <is>
          <t>1. CURRENT AGE (FROM SETUP)</t>
        </is>
      </c>
      <c r="C6" s="15" t="inlineStr">
        <is>
          <t>2. ANNUAL PRE-TAX INCOME</t>
        </is>
      </c>
      <c r="D6" s="15" t="inlineStr">
        <is>
          <t>3. CURRENT NET WORTH (FROM CHECK-IN)</t>
        </is>
      </c>
    </row>
    <row r="7" ht="26" customHeight="1">
      <c r="B7" s="16">
        <f>'START HERE'!C12</f>
        <v/>
      </c>
      <c r="C7" s="17">
        <f>'START HERE'!C13</f>
        <v/>
      </c>
      <c r="D7" s="17">
        <f>'2-Min Check-In'!G17</f>
        <v/>
      </c>
    </row>
    <row r="9" ht="20" customHeight="1">
      <c r="B9" s="15" t="inlineStr">
        <is>
          <t>🏆 STANLEY &amp; DANKO WEALTH CLASS</t>
        </is>
      </c>
      <c r="C9" s="15" t="inlineStr">
        <is>
          <t>🎯 EXPECTED NET WORTH (AGE×INC/10)</t>
        </is>
      </c>
      <c r="D9" s="15" t="inlineStr">
        <is>
          <t>🚀 ACCUMULATION MULTIPLIER</t>
        </is>
      </c>
    </row>
    <row r="10" ht="26" customHeight="1">
      <c r="B10" s="18">
        <f>IF(B7&lt;=0, "Setup Required", IF(C10&lt;=0, "N/A", IF(D10&gt;=2.0, "PAW (Prodigious Accumulator of Wealth)", IF(D10&gt;=0.5, "AAW (Average Accumulator of Wealth)", "UAW (Under-Accumulator of Wealth)"))))</f>
        <v/>
      </c>
      <c r="C10" s="17">
        <f>IFERROR((B7*C7)/10, 0)</f>
        <v/>
      </c>
      <c r="D10" s="19">
        <f>IFERROR(D7/C10, 0)</f>
        <v/>
      </c>
    </row>
    <row r="13" ht="22" customHeight="1">
      <c r="B13" s="12" t="inlineStr">
        <is>
          <t>⏳ TRUE HOURLY WAGE &amp; LIFE ENERGY ENGINE (YOUR REAL PAY RATE)</t>
        </is>
      </c>
    </row>
    <row r="14" ht="20" customHeight="1">
      <c r="B14" s="5" t="inlineStr">
        <is>
          <t>Nominal Gross Salary</t>
        </is>
      </c>
      <c r="C14" s="20">
        <f>'START HERE'!C13</f>
        <v/>
      </c>
    </row>
    <row r="15" ht="20" customHeight="1">
      <c r="B15" s="5" t="inlineStr">
        <is>
          <t>Official Work Hours / Year (40 hrs × 50 wks)</t>
        </is>
      </c>
      <c r="C15" s="21" t="n">
        <v>2000</v>
      </c>
    </row>
    <row r="16" ht="20" customHeight="1">
      <c r="B16" s="22" t="inlineStr">
        <is>
          <t>Annual Work Commute Hours</t>
        </is>
      </c>
      <c r="C16" s="23" t="n">
        <v>250</v>
      </c>
    </row>
    <row r="17" ht="20" customHeight="1">
      <c r="B17" s="5" t="inlineStr">
        <is>
          <t>Annual Taxes &amp; Deductions (Est. 25%)</t>
        </is>
      </c>
      <c r="C17" s="20">
        <f>C14*0.25</f>
        <v/>
      </c>
    </row>
    <row r="18" ht="20" customHeight="1">
      <c r="B18" s="22" t="inlineStr">
        <is>
          <t>Annual Work-Related Expenses (Commute, Clothes, Food)</t>
        </is>
      </c>
      <c r="C18" s="24" t="n">
        <v>4800</v>
      </c>
    </row>
    <row r="19" ht="20" customHeight="1">
      <c r="B19" s="5" t="inlineStr">
        <is>
          <t>Net Real Annual Take-Home Cash</t>
        </is>
      </c>
      <c r="C19" s="20">
        <f>C14-C17-C18</f>
        <v/>
      </c>
    </row>
    <row r="20" ht="20" customHeight="1">
      <c r="B20" s="5" t="inlineStr">
        <is>
          <t>Total Real Life Energy Hours Dedicated</t>
        </is>
      </c>
      <c r="C20" s="21">
        <f>C15+C16</f>
        <v/>
      </c>
    </row>
    <row r="21" ht="20" customHeight="1">
      <c r="B21" s="4" t="inlineStr">
        <is>
          <t>⭐ TRUE HOURLY LIFE ENERGY WAGE</t>
        </is>
      </c>
      <c r="C21" s="25">
        <f>IFERROR(C19/C20, 0)</f>
        <v/>
      </c>
    </row>
  </sheetData>
  <sheetProtection selectLockedCells="0" selectUnlockedCells="0" sheet="1" objects="0" insertRows="1" insertHyperlinks="1" autoFilter="1" scenarios="0" formatColumns="1" deleteColumns="1" insertColumns="1" pivotTables="1" deleteRows="1" formatCells="1" formatRows="1" sort="1"/>
  <mergeCells count="4">
    <mergeCell ref="B13:D13"/>
    <mergeCell ref="B3:D3"/>
    <mergeCell ref="B5:D5"/>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K18"/>
  <sheetViews>
    <sheetView showGridLines="1" workbookViewId="0">
      <selection activeCell="A1" sqref="A1"/>
    </sheetView>
  </sheetViews>
  <sheetFormatPr baseColWidth="8" defaultRowHeight="15" outlineLevelCol="0"/>
  <cols>
    <col width="3" customWidth="1" min="1" max="1"/>
    <col width="14" customWidth="1" min="2" max="2"/>
    <col width="18" customWidth="1" min="3" max="3"/>
    <col width="20" customWidth="1" min="4" max="4"/>
    <col width="20" customWidth="1" min="5" max="5"/>
    <col width="18" customWidth="1" min="6" max="6"/>
    <col width="20" customWidth="1" min="7" max="7"/>
    <col width="16" customWidth="1" min="8" max="8"/>
    <col width="14" customWidth="1" min="9" max="9"/>
    <col width="18" customWidth="1" min="10" max="10"/>
    <col width="14" customWidth="1" min="11" max="11"/>
    <col width="3" customWidth="1" min="12" max="12"/>
  </cols>
  <sheetData>
    <row r="2" ht="28" customHeight="1">
      <c r="B2" s="1" t="inlineStr">
        <is>
          <t>⚡ 2-MINUTE MONTHLY QUICK CHECK-IN</t>
        </is>
      </c>
    </row>
    <row r="3" ht="20" customHeight="1">
      <c r="B3" s="2" t="inlineStr">
        <is>
          <t>Rule of Thumb: On the 1st of each month, type just 4 numbers in green cells. Everything else calculates live.</t>
        </is>
      </c>
    </row>
    <row r="5" ht="24" customHeight="1">
      <c r="B5" s="26" t="inlineStr">
        <is>
          <t>Month / Period</t>
        </is>
      </c>
      <c r="C5" s="27" t="inlineStr">
        <is>
          <t>💵 Cash &amp; Savings</t>
        </is>
      </c>
      <c r="D5" s="27" t="inlineStr">
        <is>
          <t>📈 Invested Portfolio</t>
        </is>
      </c>
      <c r="E5" s="27" t="inlineStr">
        <is>
          <t>🏠 Property &amp; Assets</t>
        </is>
      </c>
      <c r="F5" s="27" t="inlineStr">
        <is>
          <t>💳 Total Debts</t>
        </is>
      </c>
      <c r="G5" s="28" t="inlineStr">
        <is>
          <t>🏛️ TOTAL NET WORTH</t>
        </is>
      </c>
      <c r="H5" s="26" t="inlineStr">
        <is>
          <t>MoM Gain ($)</t>
        </is>
      </c>
      <c r="I5" s="26" t="inlineStr">
        <is>
          <t>Growth (%)</t>
        </is>
      </c>
      <c r="J5" s="26" t="inlineStr">
        <is>
          <t>💧 Liquid Net Worth</t>
        </is>
      </c>
      <c r="K5" s="26" t="inlineStr">
        <is>
          <t>Liquid Ratio</t>
        </is>
      </c>
    </row>
    <row r="6" ht="20" customHeight="1">
      <c r="B6" s="29">
        <f>DATE('START HERE'!C19, 'START HERE'!C20, 1)</f>
        <v/>
      </c>
      <c r="C6" s="30" t="n">
        <v>25000</v>
      </c>
      <c r="D6" s="30" t="n">
        <v>185000</v>
      </c>
      <c r="E6" s="30" t="n">
        <v>350000</v>
      </c>
      <c r="F6" s="30" t="n">
        <v>245000</v>
      </c>
      <c r="G6" s="31">
        <f>(C6+D6+E6)-F6</f>
        <v/>
      </c>
      <c r="H6" s="32" t="n">
        <v>0</v>
      </c>
      <c r="I6" s="33" t="n">
        <v>0</v>
      </c>
      <c r="J6" s="20">
        <f>C6+D6</f>
        <v/>
      </c>
      <c r="K6" s="34">
        <f>IFERROR(J6/G6, 0)</f>
        <v/>
      </c>
    </row>
    <row r="7" ht="20" customHeight="1">
      <c r="B7" s="29">
        <f>EDATE(B6, 1)</f>
        <v/>
      </c>
      <c r="C7" s="30" t="n">
        <v>26200</v>
      </c>
      <c r="D7" s="30" t="n">
        <v>189500</v>
      </c>
      <c r="E7" s="30" t="n">
        <v>350000</v>
      </c>
      <c r="F7" s="30" t="n">
        <v>243800</v>
      </c>
      <c r="G7" s="31">
        <f>(C7+D7+E7)-F7</f>
        <v/>
      </c>
      <c r="H7" s="32">
        <f>G7-G6</f>
        <v/>
      </c>
      <c r="I7" s="33">
        <f>IFERROR((G7-G6)/G6, 0)</f>
        <v/>
      </c>
      <c r="J7" s="20">
        <f>C7+D7</f>
        <v/>
      </c>
      <c r="K7" s="34">
        <f>IFERROR(J7/G7, 0)</f>
        <v/>
      </c>
    </row>
    <row r="8" ht="20" customHeight="1">
      <c r="B8" s="29">
        <f>EDATE(B7, 1)</f>
        <v/>
      </c>
      <c r="C8" s="30" t="n">
        <v>25800</v>
      </c>
      <c r="D8" s="30" t="n">
        <v>194200</v>
      </c>
      <c r="E8" s="30" t="n">
        <v>350000</v>
      </c>
      <c r="F8" s="30" t="n">
        <v>242600</v>
      </c>
      <c r="G8" s="31">
        <f>(C8+D8+E8)-F8</f>
        <v/>
      </c>
      <c r="H8" s="32">
        <f>G8-G7</f>
        <v/>
      </c>
      <c r="I8" s="33">
        <f>IFERROR((G8-G7)/G7, 0)</f>
        <v/>
      </c>
      <c r="J8" s="20">
        <f>C8+D8</f>
        <v/>
      </c>
      <c r="K8" s="34">
        <f>IFERROR(J8/G8, 0)</f>
        <v/>
      </c>
    </row>
    <row r="9" ht="20" customHeight="1">
      <c r="B9" s="29">
        <f>EDATE(B8, 1)</f>
        <v/>
      </c>
      <c r="C9" s="30" t="n">
        <v>27100</v>
      </c>
      <c r="D9" s="30" t="n">
        <v>191000</v>
      </c>
      <c r="E9" s="30" t="n">
        <v>350000</v>
      </c>
      <c r="F9" s="30" t="n">
        <v>241400</v>
      </c>
      <c r="G9" s="31">
        <f>(C9+D9+E9)-F9</f>
        <v/>
      </c>
      <c r="H9" s="32">
        <f>G9-G8</f>
        <v/>
      </c>
      <c r="I9" s="33">
        <f>IFERROR((G9-G8)/G8, 0)</f>
        <v/>
      </c>
      <c r="J9" s="20">
        <f>C9+D9</f>
        <v/>
      </c>
      <c r="K9" s="34">
        <f>IFERROR(J9/G9, 0)</f>
        <v/>
      </c>
    </row>
    <row r="10" ht="20" customHeight="1">
      <c r="B10" s="29">
        <f>EDATE(B9, 1)</f>
        <v/>
      </c>
      <c r="C10" s="30" t="n">
        <v>26900</v>
      </c>
      <c r="D10" s="30" t="n">
        <v>198500</v>
      </c>
      <c r="E10" s="30" t="n">
        <v>352000</v>
      </c>
      <c r="F10" s="30" t="n">
        <v>240100</v>
      </c>
      <c r="G10" s="31">
        <f>(C10+D10+E10)-F10</f>
        <v/>
      </c>
      <c r="H10" s="32">
        <f>G10-G9</f>
        <v/>
      </c>
      <c r="I10" s="33">
        <f>IFERROR((G10-G9)/G9, 0)</f>
        <v/>
      </c>
      <c r="J10" s="20">
        <f>C10+D10</f>
        <v/>
      </c>
      <c r="K10" s="34">
        <f>IFERROR(J10/G10, 0)</f>
        <v/>
      </c>
    </row>
    <row r="11" ht="20" customHeight="1">
      <c r="B11" s="29">
        <f>EDATE(B10, 1)</f>
        <v/>
      </c>
      <c r="C11" s="30" t="n">
        <v>28400</v>
      </c>
      <c r="D11" s="30" t="n">
        <v>204000</v>
      </c>
      <c r="E11" s="30" t="n">
        <v>352000</v>
      </c>
      <c r="F11" s="30" t="n">
        <v>238800</v>
      </c>
      <c r="G11" s="31">
        <f>(C11+D11+E11)-F11</f>
        <v/>
      </c>
      <c r="H11" s="32">
        <f>G11-G10</f>
        <v/>
      </c>
      <c r="I11" s="33">
        <f>IFERROR((G11-G10)/G10, 0)</f>
        <v/>
      </c>
      <c r="J11" s="20">
        <f>C11+D11</f>
        <v/>
      </c>
      <c r="K11" s="34">
        <f>IFERROR(J11/G11, 0)</f>
        <v/>
      </c>
    </row>
    <row r="12" ht="20" customHeight="1">
      <c r="B12" s="29">
        <f>EDATE(B11, 1)</f>
        <v/>
      </c>
      <c r="C12" s="30" t="n">
        <v>29000</v>
      </c>
      <c r="D12" s="30" t="n">
        <v>209500</v>
      </c>
      <c r="E12" s="30" t="n">
        <v>352000</v>
      </c>
      <c r="F12" s="30" t="n">
        <v>237500</v>
      </c>
      <c r="G12" s="31">
        <f>(C12+D12+E12)-F12</f>
        <v/>
      </c>
      <c r="H12" s="32">
        <f>G12-G11</f>
        <v/>
      </c>
      <c r="I12" s="33">
        <f>IFERROR((G12-G11)/G11, 0)</f>
        <v/>
      </c>
      <c r="J12" s="20">
        <f>C12+D12</f>
        <v/>
      </c>
      <c r="K12" s="34">
        <f>IFERROR(J12/G12, 0)</f>
        <v/>
      </c>
    </row>
    <row r="13" ht="20" customHeight="1">
      <c r="B13" s="29">
        <f>EDATE(B12, 1)</f>
        <v/>
      </c>
      <c r="C13" s="30" t="n">
        <v>28500</v>
      </c>
      <c r="D13" s="30" t="n">
        <v>215000</v>
      </c>
      <c r="E13" s="30" t="n">
        <v>355000</v>
      </c>
      <c r="F13" s="30" t="n">
        <v>236100</v>
      </c>
      <c r="G13" s="31">
        <f>(C13+D13+E13)-F13</f>
        <v/>
      </c>
      <c r="H13" s="32">
        <f>G13-G12</f>
        <v/>
      </c>
      <c r="I13" s="33">
        <f>IFERROR((G13-G12)/G12, 0)</f>
        <v/>
      </c>
      <c r="J13" s="20">
        <f>C13+D13</f>
        <v/>
      </c>
      <c r="K13" s="34">
        <f>IFERROR(J13/G13, 0)</f>
        <v/>
      </c>
    </row>
    <row r="14" ht="20" customHeight="1">
      <c r="B14" s="29">
        <f>EDATE(B13, 1)</f>
        <v/>
      </c>
      <c r="C14" s="30" t="n">
        <v>30200</v>
      </c>
      <c r="D14" s="30" t="n">
        <v>221000</v>
      </c>
      <c r="E14" s="30" t="n">
        <v>355000</v>
      </c>
      <c r="F14" s="30" t="n">
        <v>234700</v>
      </c>
      <c r="G14" s="31">
        <f>(C14+D14+E14)-F14</f>
        <v/>
      </c>
      <c r="H14" s="32">
        <f>G14-G13</f>
        <v/>
      </c>
      <c r="I14" s="33">
        <f>IFERROR((G14-G13)/G13, 0)</f>
        <v/>
      </c>
      <c r="J14" s="20">
        <f>C14+D14</f>
        <v/>
      </c>
      <c r="K14" s="34">
        <f>IFERROR(J14/G14, 0)</f>
        <v/>
      </c>
    </row>
    <row r="15" ht="20" customHeight="1">
      <c r="B15" s="29">
        <f>EDATE(B14, 1)</f>
        <v/>
      </c>
      <c r="C15" s="30" t="n">
        <v>31000</v>
      </c>
      <c r="D15" s="30" t="n">
        <v>228000</v>
      </c>
      <c r="E15" s="30" t="n">
        <v>355000</v>
      </c>
      <c r="F15" s="30" t="n">
        <v>233200</v>
      </c>
      <c r="G15" s="31">
        <f>(C15+D15+E15)-F15</f>
        <v/>
      </c>
      <c r="H15" s="32">
        <f>G15-G14</f>
        <v/>
      </c>
      <c r="I15" s="33">
        <f>IFERROR((G15-G14)/G14, 0)</f>
        <v/>
      </c>
      <c r="J15" s="20">
        <f>C15+D15</f>
        <v/>
      </c>
      <c r="K15" s="34">
        <f>IFERROR(J15/G15, 0)</f>
        <v/>
      </c>
    </row>
    <row r="16" ht="20" customHeight="1">
      <c r="B16" s="29">
        <f>EDATE(B15, 1)</f>
        <v/>
      </c>
      <c r="C16" s="30" t="n">
        <v>31500</v>
      </c>
      <c r="D16" s="30" t="n">
        <v>234500</v>
      </c>
      <c r="E16" s="30" t="n">
        <v>358000</v>
      </c>
      <c r="F16" s="30" t="n">
        <v>231700</v>
      </c>
      <c r="G16" s="31">
        <f>(C16+D16+E16)-F16</f>
        <v/>
      </c>
      <c r="H16" s="32">
        <f>G16-G15</f>
        <v/>
      </c>
      <c r="I16" s="33">
        <f>IFERROR((G16-G15)/G15, 0)</f>
        <v/>
      </c>
      <c r="J16" s="20">
        <f>C16+D16</f>
        <v/>
      </c>
      <c r="K16" s="34">
        <f>IFERROR(J16/G16, 0)</f>
        <v/>
      </c>
    </row>
    <row r="17" ht="20" customHeight="1">
      <c r="B17" s="29">
        <f>EDATE(B16, 1)</f>
        <v/>
      </c>
      <c r="C17" s="30" t="n">
        <v>33000</v>
      </c>
      <c r="D17" s="30" t="n">
        <v>242000</v>
      </c>
      <c r="E17" s="30" t="n">
        <v>358000</v>
      </c>
      <c r="F17" s="30" t="n">
        <v>230100</v>
      </c>
      <c r="G17" s="31">
        <f>(C17+D17+E17)-F17</f>
        <v/>
      </c>
      <c r="H17" s="32">
        <f>G17-G16</f>
        <v/>
      </c>
      <c r="I17" s="33">
        <f>IFERROR((G17-G16)/G16, 0)</f>
        <v/>
      </c>
      <c r="J17" s="20">
        <f>C17+D17</f>
        <v/>
      </c>
      <c r="K17" s="34">
        <f>IFERROR(J17/G17, 0)</f>
        <v/>
      </c>
    </row>
    <row r="18" ht="22" customHeight="1">
      <c r="B18" s="35" t="inlineStr">
        <is>
          <t>ANNUAL SUMMARY</t>
        </is>
      </c>
      <c r="C18" s="36">
        <f>AVERAGE(C6:C17)</f>
        <v/>
      </c>
      <c r="D18" s="36">
        <f>AVERAGE(D6:D17)</f>
        <v/>
      </c>
      <c r="E18" s="36">
        <f>AVERAGE(E6:E17)</f>
        <v/>
      </c>
      <c r="F18" s="36">
        <f>AVERAGE(F6:F17)</f>
        <v/>
      </c>
      <c r="G18" s="37">
        <f>G17</f>
        <v/>
      </c>
      <c r="H18" s="38">
        <f>G17-G6</f>
        <v/>
      </c>
      <c r="I18" s="39">
        <f>IFERROR((G17-G6)/G6, 0)</f>
        <v/>
      </c>
      <c r="J18" s="40">
        <f>J17</f>
        <v/>
      </c>
      <c r="K18" s="41">
        <f>IFERROR(J17/G17, 0)</f>
        <v/>
      </c>
    </row>
  </sheetData>
  <sheetProtection selectLockedCells="0" selectUnlockedCells="0" sheet="1" objects="0" insertRows="1" insertHyperlinks="1" autoFilter="1" scenarios="0" formatColumns="1" deleteColumns="1" insertColumns="1" pivotTables="1" deleteRows="1" formatCells="1" formatRows="1" sort="1"/>
  <mergeCells count="2">
    <mergeCell ref="B3:K3"/>
    <mergeCell ref="B2:K2"/>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B2:F16"/>
  <sheetViews>
    <sheetView showGridLines="1" workbookViewId="0">
      <selection activeCell="A1" sqref="A1"/>
    </sheetView>
  </sheetViews>
  <sheetFormatPr baseColWidth="8" defaultRowHeight="15" outlineLevelCol="0"/>
  <cols>
    <col width="3" customWidth="1" min="1" max="1"/>
    <col width="22" customWidth="1" min="2" max="2"/>
    <col width="18" customWidth="1" min="3" max="3"/>
    <col width="22" customWidth="1" min="4" max="4"/>
    <col width="18" customWidth="1" min="5" max="5"/>
    <col width="24" customWidth="1" min="6" max="6"/>
    <col width="3" customWidth="1" min="7" max="7"/>
  </cols>
  <sheetData>
    <row r="2" ht="28" customHeight="1">
      <c r="B2" s="1" t="inlineStr">
        <is>
          <t>📊 EXECUTIVE WEALTH TERMINAL</t>
        </is>
      </c>
    </row>
    <row r="3" ht="20" customHeight="1">
      <c r="B3" s="2" t="inlineStr">
        <is>
          <t>Dynamic Dashboard • Fed SCF Benchmark Positioning • Real-Time FIRE Countdown</t>
        </is>
      </c>
    </row>
    <row r="5">
      <c r="B5" s="42" t="inlineStr">
        <is>
          <t>TOTAL NET WORTH (LATEST)</t>
        </is>
      </c>
      <c r="C5" s="13" t="n"/>
      <c r="D5" s="42" t="inlineStr">
        <is>
          <t>LIQUID INVESTED PORTFOLIO</t>
        </is>
      </c>
      <c r="E5" s="13" t="n"/>
      <c r="F5" s="42" t="inlineStr">
        <is>
          <t>FED SCF RANK (DYNAMIC FORMULA)</t>
        </is>
      </c>
    </row>
    <row r="6">
      <c r="B6" s="43">
        <f>'2-Min Check-In'!G17</f>
        <v/>
      </c>
      <c r="C6" s="13" t="n"/>
      <c r="D6" s="43">
        <f>'2-Min Check-In'!J17</f>
        <v/>
      </c>
      <c r="E6" s="13" t="n"/>
      <c r="F6" s="44">
        <f>IF(B6&gt;=1000000, "Top 18% (Millionaire)", IF(B6&gt;=500000, "Top 25% (High Wealth)", IF(B6&gt;=250000, "Top 35% (Above Avg)", IF(B6&gt;=135000, "Top 50% (Median+)", "Lower 50%"))))</f>
        <v/>
      </c>
    </row>
    <row r="7">
      <c r="B7" s="45">
        <f>'2-Min Check-In'!H18</f>
        <v/>
      </c>
      <c r="C7" s="13" t="n"/>
      <c r="D7" s="46">
        <f>'2-Min Check-In'!K17</f>
        <v/>
      </c>
      <c r="E7" s="13" t="n"/>
      <c r="F7" s="47">
        <f>'START HERE'!C12</f>
        <v/>
      </c>
    </row>
    <row r="9" ht="22" customHeight="1">
      <c r="B9" s="7" t="inlineStr">
        <is>
          <t>🏆 STANLEY &amp; DANKO WEALTH ACCUMULATION ENGINE (LIVE FORMULAS)</t>
        </is>
      </c>
    </row>
    <row r="10" ht="19" customHeight="1">
      <c r="B10" s="48" t="inlineStr">
        <is>
          <t>Current Age</t>
        </is>
      </c>
      <c r="C10" s="48" t="inlineStr">
        <is>
          <t>Pre-Tax Income</t>
        </is>
      </c>
      <c r="D10" s="48" t="inlineStr">
        <is>
          <t>Expected Net Worth</t>
        </is>
      </c>
      <c r="E10" s="48" t="inlineStr">
        <is>
          <t>Multiplier</t>
        </is>
      </c>
      <c r="F10" s="48" t="inlineStr">
        <is>
          <t>Wealth Status</t>
        </is>
      </c>
    </row>
    <row r="11" ht="24" customHeight="1">
      <c r="B11" s="49">
        <f>'START HERE'!C12</f>
        <v/>
      </c>
      <c r="C11" s="50">
        <f>'START HERE'!C13</f>
        <v/>
      </c>
      <c r="D11" s="50">
        <f>(B11*C11)/10</f>
        <v/>
      </c>
      <c r="E11" s="51">
        <f>IFERROR(B6/D11, 0)</f>
        <v/>
      </c>
      <c r="F11" s="52">
        <f>IF(B11&lt;=0, "Setup Required", IF(E11&gt;=2.0, "PAW (Top 10%)", IF(E11&gt;=0.5, "AAW (Solid Average)", "UAW (Under)"))))</f>
        <v/>
      </c>
    </row>
    <row r="13" ht="22" customHeight="1">
      <c r="B13" s="7" t="inlineStr">
        <is>
          <t>🔥 FINANCIAL INDEPENDENCE (FIRE) READINESS (LIVE FORMULAS)</t>
        </is>
      </c>
    </row>
    <row r="14" ht="19" customHeight="1">
      <c r="B14" s="48" t="inlineStr">
        <is>
          <t>Lean FIRE Target</t>
        </is>
      </c>
      <c r="C14" s="48" t="inlineStr">
        <is>
          <t>Standard FIRE (4%)</t>
        </is>
      </c>
      <c r="D14" s="48" t="inlineStr">
        <is>
          <t>Coast FIRE Target</t>
        </is>
      </c>
      <c r="E14" s="48" t="inlineStr">
        <is>
          <t>Freedom Date</t>
        </is>
      </c>
    </row>
    <row r="15" ht="24" customHeight="1">
      <c r="B15" s="53">
        <f>'FIRE Freedom Engine'!C13</f>
        <v/>
      </c>
      <c r="C15" s="53">
        <f>'FIRE Freedom Engine'!C14</f>
        <v/>
      </c>
      <c r="D15" s="53">
        <f>'FIRE Freedom Engine'!C16</f>
        <v/>
      </c>
      <c r="E15" s="54">
        <f>'FIRE Freedom Engine'!C22</f>
        <v/>
      </c>
    </row>
    <row r="16" ht="18" customHeight="1">
      <c r="B16" s="55">
        <f>IFERROR(B6/B15, 0)</f>
        <v/>
      </c>
      <c r="C16" s="55">
        <f>IFERROR(B6/C15, 0)</f>
        <v/>
      </c>
      <c r="D16" s="56">
        <f>IF(D15&lt;=0, "Setup Required", IF(D6&gt;=D15, "✅ COAST REACHED", "SAVING IN PROGRESS"))</f>
        <v/>
      </c>
      <c r="E16" s="57">
        <f>'FIRE Freedom Engine'!C21</f>
        <v/>
      </c>
    </row>
  </sheetData>
  <sheetProtection selectLockedCells="0" selectUnlockedCells="0" sheet="1" objects="0" insertRows="1" insertHyperlinks="1" autoFilter="1" scenarios="0" formatColumns="1" deleteColumns="1" insertColumns="1" pivotTables="1" deleteRows="1" formatCells="1" formatRows="1" sort="1"/>
  <mergeCells count="10">
    <mergeCell ref="D6:E6"/>
    <mergeCell ref="B6:C6"/>
    <mergeCell ref="D7:E7"/>
    <mergeCell ref="B7:C7"/>
    <mergeCell ref="B2:F2"/>
    <mergeCell ref="B5:C5"/>
    <mergeCell ref="B3:F3"/>
    <mergeCell ref="D5:E5"/>
    <mergeCell ref="B9:F9"/>
    <mergeCell ref="B13:F13"/>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B2:F36"/>
  <sheetViews>
    <sheetView showGridLines="1" workbookViewId="0">
      <selection activeCell="A1" sqref="A1"/>
    </sheetView>
  </sheetViews>
  <sheetFormatPr baseColWidth="8" defaultRowHeight="15" outlineLevelCol="0"/>
  <cols>
    <col width="3" customWidth="1" min="1" max="1"/>
    <col width="30" customWidth="1" min="2" max="2"/>
    <col width="18" customWidth="1" min="3" max="3"/>
    <col width="18" customWidth="1" min="4" max="4"/>
    <col width="16" customWidth="1" min="5" max="5"/>
    <col width="22" customWidth="1" min="6" max="6"/>
    <col width="3" customWidth="1" min="7" max="7"/>
  </cols>
  <sheetData>
    <row r="2" ht="28" customHeight="1">
      <c r="B2" s="1" t="inlineStr">
        <is>
          <t>💸 SMART MONTHLY CASH FLOW &amp; 50/30/20 BUDGET</t>
        </is>
      </c>
    </row>
    <row r="3" ht="20" customHeight="1">
      <c r="B3" s="2" t="inlineStr">
        <is>
          <t>Answers: 'How much can I safely spend guilt-free?' • 50% Needs, 30% Wants, 20% Wealth Surplus</t>
        </is>
      </c>
    </row>
    <row r="5">
      <c r="B5" s="58" t="inlineStr">
        <is>
          <t>🟢 REMAINING GUILT-FREE SPENDING BUFFER</t>
        </is>
      </c>
      <c r="C5" s="13" t="n"/>
      <c r="D5" s="13" t="n"/>
      <c r="E5" s="42" t="inlineStr">
        <is>
          <t>SAFE DAILY ALLOWANCE (30-DAY BUFFER)</t>
        </is>
      </c>
      <c r="F5" s="13" t="n"/>
    </row>
    <row r="6">
      <c r="B6" s="59">
        <f>E28</f>
        <v/>
      </c>
      <c r="C6" s="13" t="n"/>
      <c r="D6" s="13" t="n"/>
      <c r="E6" s="60">
        <f>IFERROR(E28/30, 0)</f>
        <v/>
      </c>
      <c r="F6" s="13" t="n"/>
    </row>
    <row r="8" ht="20" customHeight="1">
      <c r="B8" s="15" t="inlineStr">
        <is>
          <t>Cash Flow Category</t>
        </is>
      </c>
      <c r="C8" s="15" t="inlineStr">
        <is>
          <t>Planned ($)</t>
        </is>
      </c>
      <c r="D8" s="15" t="inlineStr">
        <is>
          <t>Actual ($)</t>
        </is>
      </c>
      <c r="E8" s="15" t="inlineStr">
        <is>
          <t>Remaining ($)</t>
        </is>
      </c>
      <c r="F8" s="15" t="inlineStr">
        <is>
          <t>50/30/20 Benchmark</t>
        </is>
      </c>
    </row>
    <row r="9">
      <c r="B9" s="61" t="inlineStr">
        <is>
          <t>📥 MONTHLY TAKE-HOME INCOME</t>
        </is>
      </c>
    </row>
    <row r="10" ht="19" customHeight="1">
      <c r="B10" s="5" t="inlineStr">
        <is>
          <t>Primary Salary / Take-Home</t>
        </is>
      </c>
      <c r="C10" s="10" t="n">
        <v>6800</v>
      </c>
      <c r="D10" s="10" t="n">
        <v>6800</v>
      </c>
      <c r="E10" s="62">
        <f>D10-C10</f>
        <v/>
      </c>
      <c r="F10" s="6" t="inlineStr">
        <is>
          <t>Inflow</t>
        </is>
      </c>
    </row>
    <row r="11" ht="19" customHeight="1">
      <c r="B11" s="5" t="inlineStr">
        <is>
          <t>Partner / Secondary Income</t>
        </is>
      </c>
      <c r="C11" s="10" t="n">
        <v>2200</v>
      </c>
      <c r="D11" s="10" t="n">
        <v>2200</v>
      </c>
      <c r="E11" s="62">
        <f>D11-C11</f>
        <v/>
      </c>
      <c r="F11" s="6" t="inlineStr">
        <is>
          <t>Inflow</t>
        </is>
      </c>
    </row>
    <row r="12" ht="19" customHeight="1">
      <c r="B12" s="5" t="inlineStr">
        <is>
          <t>Side Hustles / Dividends</t>
        </is>
      </c>
      <c r="C12" s="10" t="n">
        <v>500</v>
      </c>
      <c r="D12" s="10" t="n">
        <v>650</v>
      </c>
      <c r="E12" s="62">
        <f>D12-C12</f>
        <v/>
      </c>
      <c r="F12" s="6" t="inlineStr">
        <is>
          <t>Inflow</t>
        </is>
      </c>
    </row>
    <row r="13">
      <c r="B13" s="63" t="inlineStr">
        <is>
          <t>TOTAL MONTHLY NET INCOME</t>
        </is>
      </c>
      <c r="C13" s="64">
        <f>SUM(C10:C12)</f>
        <v/>
      </c>
      <c r="D13" s="64">
        <f>SUM(D10:D12)</f>
        <v/>
      </c>
      <c r="E13" s="64">
        <f>D13-C13</f>
        <v/>
      </c>
      <c r="F13" s="65" t="inlineStr">
        <is>
          <t>100% Baseline</t>
        </is>
      </c>
    </row>
    <row r="15">
      <c r="B15" s="66" t="inlineStr">
        <is>
          <t>🛡️ 50% ESSENTIAL NEEDS (HOUSING, FOOD, UTILITIES, MIN DEBT)</t>
        </is>
      </c>
    </row>
    <row r="16" ht="19" customHeight="1">
      <c r="B16" s="5" t="inlineStr">
        <is>
          <t>Rent / Mortgage Payment</t>
        </is>
      </c>
      <c r="C16" s="10" t="n">
        <v>2400</v>
      </c>
      <c r="D16" s="10" t="n">
        <v>2400</v>
      </c>
      <c r="E16" s="62">
        <f>C16-D16</f>
        <v/>
      </c>
      <c r="F16" s="6" t="inlineStr">
        <is>
          <t>Needs</t>
        </is>
      </c>
    </row>
    <row r="17" ht="19" customHeight="1">
      <c r="B17" s="5" t="inlineStr">
        <is>
          <t>Groceries &amp; Household Staples</t>
        </is>
      </c>
      <c r="C17" s="10" t="n">
        <v>850</v>
      </c>
      <c r="D17" s="10" t="n">
        <v>920</v>
      </c>
      <c r="E17" s="62">
        <f>C17-D17</f>
        <v/>
      </c>
      <c r="F17" s="6" t="inlineStr">
        <is>
          <t>Needs</t>
        </is>
      </c>
    </row>
    <row r="18" ht="19" customHeight="1">
      <c r="B18" s="5" t="inlineStr">
        <is>
          <t>Utilities, Electric &amp; Internet</t>
        </is>
      </c>
      <c r="C18" s="10" t="n">
        <v>380</v>
      </c>
      <c r="D18" s="10" t="n">
        <v>410</v>
      </c>
      <c r="E18" s="62">
        <f>C18-D18</f>
        <v/>
      </c>
      <c r="F18" s="6" t="inlineStr">
        <is>
          <t>Needs</t>
        </is>
      </c>
    </row>
    <row r="19" ht="19" customHeight="1">
      <c r="B19" s="5" t="inlineStr">
        <is>
          <t>Transportation, Gas &amp; Transit</t>
        </is>
      </c>
      <c r="C19" s="10" t="n">
        <v>450</v>
      </c>
      <c r="D19" s="10" t="n">
        <v>420</v>
      </c>
      <c r="E19" s="62">
        <f>C19-D19</f>
        <v/>
      </c>
      <c r="F19" s="6" t="inlineStr">
        <is>
          <t>Needs</t>
        </is>
      </c>
    </row>
    <row r="20" ht="19" customHeight="1">
      <c r="B20" s="5" t="inlineStr">
        <is>
          <t>Healthcare, Insurance &amp; Prescriptions</t>
        </is>
      </c>
      <c r="C20" s="10" t="n">
        <v>320</v>
      </c>
      <c r="D20" s="10" t="n">
        <v>310</v>
      </c>
      <c r="E20" s="62">
        <f>C20-D20</f>
        <v/>
      </c>
      <c r="F20" s="6" t="inlineStr">
        <is>
          <t>Needs</t>
        </is>
      </c>
    </row>
    <row r="21">
      <c r="B21" s="63" t="inlineStr">
        <is>
          <t>SUBTOTAL: 50% NEEDS</t>
        </is>
      </c>
      <c r="C21" s="64">
        <f>SUM(C16:C20)</f>
        <v/>
      </c>
      <c r="D21" s="64">
        <f>SUM(D16:D20)</f>
        <v/>
      </c>
      <c r="E21" s="64">
        <f>C21-D21</f>
        <v/>
      </c>
      <c r="F21" s="67">
        <f>IFERROR(D21/D13, 0)</f>
        <v/>
      </c>
    </row>
    <row r="23">
      <c r="B23" s="66" t="inlineStr">
        <is>
          <t>🎉 30% DISCRETIONARY WANTS (DINING, STREAMING, HOBBIES)</t>
        </is>
      </c>
    </row>
    <row r="24" ht="19" customHeight="1">
      <c r="B24" s="5" t="inlineStr">
        <is>
          <t>Dining Out, Takeout &amp; Cafes</t>
        </is>
      </c>
      <c r="C24" s="10" t="n">
        <v>700</v>
      </c>
      <c r="D24" s="10" t="n">
        <v>680</v>
      </c>
      <c r="E24" s="62">
        <f>C24-D24</f>
        <v/>
      </c>
      <c r="F24" s="6" t="inlineStr">
        <is>
          <t>Wants</t>
        </is>
      </c>
    </row>
    <row r="25" ht="19" customHeight="1">
      <c r="B25" s="5" t="inlineStr">
        <is>
          <t>Subscriptions, Gym &amp; Digital Apps</t>
        </is>
      </c>
      <c r="C25" s="10" t="n">
        <v>180</v>
      </c>
      <c r="D25" s="10" t="n">
        <v>195</v>
      </c>
      <c r="E25" s="62">
        <f>C25-D25</f>
        <v/>
      </c>
      <c r="F25" s="6" t="inlineStr">
        <is>
          <t>Wants</t>
        </is>
      </c>
    </row>
    <row r="26" ht="19" customHeight="1">
      <c r="B26" s="5" t="inlineStr">
        <is>
          <t>Shopping, Apparel &amp; Entertainment</t>
        </is>
      </c>
      <c r="C26" s="10" t="n">
        <v>500</v>
      </c>
      <c r="D26" s="10" t="n">
        <v>480</v>
      </c>
      <c r="E26" s="62">
        <f>C26-D26</f>
        <v/>
      </c>
      <c r="F26" s="6" t="inlineStr">
        <is>
          <t>Wants</t>
        </is>
      </c>
    </row>
    <row r="27" ht="19" customHeight="1">
      <c r="B27" s="5" t="inlineStr">
        <is>
          <t>Weekend Hobbies &amp; Social Travel</t>
        </is>
      </c>
      <c r="C27" s="10" t="n">
        <v>450</v>
      </c>
      <c r="D27" s="10" t="n">
        <v>420</v>
      </c>
      <c r="E27" s="62">
        <f>C27-D27</f>
        <v/>
      </c>
      <c r="F27" s="6" t="inlineStr">
        <is>
          <t>Wants</t>
        </is>
      </c>
    </row>
    <row r="28">
      <c r="B28" s="63" t="inlineStr">
        <is>
          <t>SUBTOTAL: 30% WANTS</t>
        </is>
      </c>
      <c r="C28" s="64">
        <f>SUM(C24:C27)</f>
        <v/>
      </c>
      <c r="D28" s="64">
        <f>SUM(D24:D27)</f>
        <v/>
      </c>
      <c r="E28" s="64">
        <f>C28-D28</f>
        <v/>
      </c>
      <c r="F28" s="68">
        <f>IFERROR(D28/D13, 0)</f>
        <v/>
      </c>
    </row>
    <row r="30">
      <c r="B30" s="61" t="inlineStr">
        <is>
          <t>🚀 20% WEALTH SURPLUS (INVESTMENTS, SINKING FUNDS, EXTRA DEBT)</t>
        </is>
      </c>
    </row>
    <row r="31" ht="19" customHeight="1">
      <c r="B31" s="5" t="inlineStr">
        <is>
          <t>Roth IRA / 401(k) / Index Funds</t>
        </is>
      </c>
      <c r="C31" s="10" t="n">
        <v>1500</v>
      </c>
      <c r="D31" s="10" t="n">
        <v>1500</v>
      </c>
      <c r="E31" s="62">
        <f>C31-D31</f>
        <v/>
      </c>
      <c r="F31" s="6" t="inlineStr">
        <is>
          <t>Wealth</t>
        </is>
      </c>
    </row>
    <row r="32" ht="19" customHeight="1">
      <c r="B32" s="5" t="inlineStr">
        <is>
          <t>Sinking Funds Defense Pool</t>
        </is>
      </c>
      <c r="C32" s="10" t="n">
        <v>600</v>
      </c>
      <c r="D32" s="10" t="n">
        <v>600</v>
      </c>
      <c r="E32" s="62">
        <f>C32-D32</f>
        <v/>
      </c>
      <c r="F32" s="6" t="inlineStr">
        <is>
          <t>Wealth</t>
        </is>
      </c>
    </row>
    <row r="33" ht="19" customHeight="1">
      <c r="B33" s="5" t="inlineStr">
        <is>
          <t>Extra Debt Payoff Accelerator</t>
        </is>
      </c>
      <c r="C33" s="10" t="n">
        <v>500</v>
      </c>
      <c r="D33" s="10" t="n">
        <v>500</v>
      </c>
      <c r="E33" s="62">
        <f>C33-D33</f>
        <v/>
      </c>
      <c r="F33" s="6" t="inlineStr">
        <is>
          <t>Wealth</t>
        </is>
      </c>
    </row>
    <row r="34">
      <c r="B34" s="63" t="inlineStr">
        <is>
          <t>SUBTOTAL: 20% WEALTH</t>
        </is>
      </c>
      <c r="C34" s="64">
        <f>SUM(C31:C33)</f>
        <v/>
      </c>
      <c r="D34" s="64">
        <f>SUM(D31:D33)</f>
        <v/>
      </c>
      <c r="E34" s="64">
        <f>C34-D34</f>
        <v/>
      </c>
      <c r="F34" s="69">
        <f>IFERROR(D34/D13, 0)</f>
        <v/>
      </c>
    </row>
    <row r="36" ht="24" customHeight="1">
      <c r="B36" s="35" t="inlineStr">
        <is>
          <t>🎯 MONTHLY NET CASH FLOW SURPLUS / DEFICIT</t>
        </is>
      </c>
      <c r="C36" s="40">
        <f>C13-(C21+C28+C34)</f>
        <v/>
      </c>
      <c r="D36" s="40">
        <f>D13-(D21+D28+D34)</f>
        <v/>
      </c>
      <c r="E36" s="40">
        <f>D36-C36</f>
        <v/>
      </c>
      <c r="F36" s="70">
        <f>IF(D36&gt;=0, "✅ CASH SURPLUS", "⚠️ CASH DEFICIT")</f>
        <v/>
      </c>
    </row>
  </sheetData>
  <sheetProtection selectLockedCells="0" selectUnlockedCells="0" sheet="1" objects="0" insertRows="1" insertHyperlinks="1" autoFilter="1" scenarios="0" formatColumns="1" deleteColumns="1" insertColumns="1" pivotTables="1" deleteRows="1" formatCells="1" formatRows="1" sort="1"/>
  <mergeCells count="10">
    <mergeCell ref="B30:F30"/>
    <mergeCell ref="B5:D5"/>
    <mergeCell ref="E6:F6"/>
    <mergeCell ref="B2:F2"/>
    <mergeCell ref="B15:F15"/>
    <mergeCell ref="B3:F3"/>
    <mergeCell ref="E5:F5"/>
    <mergeCell ref="B23:F23"/>
    <mergeCell ref="B6:D6"/>
    <mergeCell ref="B9:F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22"/>
  <sheetViews>
    <sheetView showGridLines="1" workbookViewId="0">
      <selection activeCell="A1" sqref="A1"/>
    </sheetView>
  </sheetViews>
  <sheetFormatPr baseColWidth="8" defaultRowHeight="15" outlineLevelCol="0"/>
  <cols>
    <col width="3" customWidth="1" min="1" max="1"/>
    <col width="14" customWidth="1" min="2" max="2"/>
    <col width="34" customWidth="1" min="3" max="3"/>
    <col width="16" customWidth="1" min="4" max="4"/>
    <col width="22" customWidth="1" min="5" max="5"/>
    <col width="20" customWidth="1" min="6" max="6"/>
    <col width="3" customWidth="1" min="7" max="7"/>
  </cols>
  <sheetData>
    <row r="2" ht="28" customHeight="1">
      <c r="B2" s="1" t="inlineStr">
        <is>
          <t>💳 BANK STATEMENT &amp; EXPENSE INTELLIGENCE LEDGER</t>
        </is>
      </c>
    </row>
    <row r="3" ht="20" customHeight="1">
      <c r="B3" s="2" t="inlineStr">
        <is>
          <t>Step 1: Convert bank PDF at getnetworthcalculator.com/tools/statement-converter ➔ Step 2: 1-Click Copy ➔ Step 3: Paste into B14</t>
        </is>
      </c>
    </row>
    <row r="5" ht="20" customHeight="1">
      <c r="B5" s="7" t="inlineStr">
        <is>
          <t>📊 INGESTED STATEMENT INTELLIGENCE (LIVE TOTALS FROM TRANSACTIONS)</t>
        </is>
      </c>
    </row>
    <row r="6" ht="18" customHeight="1">
      <c r="B6" s="42" t="inlineStr">
        <is>
          <t>TOTAL INFLOWS</t>
        </is>
      </c>
      <c r="C6" s="42" t="inlineStr">
        <is>
          <t>TOTAL OUTFLOWS (SPENT)</t>
        </is>
      </c>
      <c r="D6" s="42" t="inlineStr">
        <is>
          <t>NET MONTHLY CASH FLOW</t>
        </is>
      </c>
      <c r="E6" s="42" t="inlineStr">
        <is>
          <t>50% NEEDS OUTFLOW</t>
        </is>
      </c>
      <c r="F6" s="42" t="inlineStr">
        <is>
          <t>30% WANTS OUTFLOW</t>
        </is>
      </c>
    </row>
    <row r="7" ht="24" customHeight="1">
      <c r="B7" s="71">
        <f>SUMIF(F14:F300, "*Inflow*", D14:D300)</f>
        <v/>
      </c>
      <c r="C7" s="72">
        <f>SUMIFS(D14:D300, F14:F300, "&lt;&gt;*Inflow*", D14:D300, "&gt;0")</f>
        <v/>
      </c>
      <c r="D7" s="71">
        <f>B7-C7</f>
        <v/>
      </c>
      <c r="E7" s="72">
        <f>SUMIF(F14:F300, "*Needs*", D14:D300)</f>
        <v/>
      </c>
      <c r="F7" s="72">
        <f>SUMIF(F14:F300, "*Wants*", D14:D300)</f>
        <v/>
      </c>
    </row>
    <row r="8" ht="18" customHeight="1">
      <c r="B8" s="73" t="inlineStr">
        <is>
          <t>Salary &amp; Direct Deposits</t>
        </is>
      </c>
      <c r="C8" s="73" t="inlineStr">
        <is>
          <t>All Categories</t>
        </is>
      </c>
      <c r="D8" s="73">
        <f>IF(D7&gt;=0, "✅ Net Surplus", "⚠️ Net Deficit")</f>
        <v/>
      </c>
      <c r="E8" s="74">
        <f>IFERROR(E7/C7, 0)</f>
        <v/>
      </c>
      <c r="F8" s="74">
        <f>IFERROR(F7/C7, 0)</f>
        <v/>
      </c>
    </row>
    <row r="10" ht="20" customHeight="1">
      <c r="B10" s="61" t="inlineStr">
        <is>
          <t>🚀 HOW TO INGEST YOUR BANK TRANSACTIONS IN 10 SECONDS:</t>
        </is>
      </c>
    </row>
    <row r="11" ht="22" customHeight="1">
      <c r="B11" s="75" t="inlineStr">
        <is>
          <t>1. Open private converter: getnetworthcalculator.com/tools/statement-converter (100% private, client-side only). 2. Drop bank PDF or CSV. 3. Click '📋 1-Click Copy For Vault'. 4. Click cell B14 and paste (Cmd+V / Ctrl+V).</t>
        </is>
      </c>
      <c r="C11" s="13" t="n"/>
      <c r="D11" s="13" t="n"/>
      <c r="E11" s="13" t="n"/>
      <c r="F11" s="13" t="n"/>
    </row>
    <row r="13" ht="22" customHeight="1">
      <c r="B13" s="15" t="inlineStr">
        <is>
          <t>Date</t>
        </is>
      </c>
      <c r="C13" s="15" t="inlineStr">
        <is>
          <t>Clean Merchant</t>
        </is>
      </c>
      <c r="D13" s="15" t="inlineStr">
        <is>
          <t>Amount ($)</t>
        </is>
      </c>
      <c r="E13" s="15" t="inlineStr">
        <is>
          <t>Category</t>
        </is>
      </c>
      <c r="F13" s="15" t="inlineStr">
        <is>
          <t>Budget Bucket</t>
        </is>
      </c>
    </row>
    <row r="14" ht="19" customHeight="1">
      <c r="B14" s="76" t="inlineStr">
        <is>
          <t>2026-10-01</t>
        </is>
      </c>
      <c r="C14" s="77" t="inlineStr">
        <is>
          <t>Direct Deposit - Payroll</t>
        </is>
      </c>
      <c r="D14" s="78" t="n">
        <v>3450</v>
      </c>
      <c r="E14" s="76" t="inlineStr">
        <is>
          <t>INFLOW</t>
        </is>
      </c>
      <c r="F14" s="79" t="inlineStr">
        <is>
          <t>Inflow</t>
        </is>
      </c>
    </row>
    <row r="15" ht="19" customHeight="1">
      <c r="B15" s="76" t="inlineStr">
        <is>
          <t>2026-10-02</t>
        </is>
      </c>
      <c r="C15" s="77" t="inlineStr">
        <is>
          <t>Avalon Apartments Rent</t>
        </is>
      </c>
      <c r="D15" s="78" t="n">
        <v>1650</v>
      </c>
      <c r="E15" s="76" t="inlineStr">
        <is>
          <t>HOUSING</t>
        </is>
      </c>
      <c r="F15" s="79" t="inlineStr">
        <is>
          <t>50% Needs</t>
        </is>
      </c>
    </row>
    <row r="16" ht="19" customHeight="1">
      <c r="B16" s="76" t="inlineStr">
        <is>
          <t>2026-10-03</t>
        </is>
      </c>
      <c r="C16" s="77" t="inlineStr">
        <is>
          <t>Trader Joe's Groceries</t>
        </is>
      </c>
      <c r="D16" s="78" t="n">
        <v>84.15000000000001</v>
      </c>
      <c r="E16" s="76" t="inlineStr">
        <is>
          <t>GROCERIES</t>
        </is>
      </c>
      <c r="F16" s="79" t="inlineStr">
        <is>
          <t>50% Needs</t>
        </is>
      </c>
    </row>
    <row r="17" ht="19" customHeight="1">
      <c r="B17" s="76" t="inlineStr">
        <is>
          <t>2026-10-04</t>
        </is>
      </c>
      <c r="C17" s="77" t="inlineStr">
        <is>
          <t>Chevron Gas &amp; Transit</t>
        </is>
      </c>
      <c r="D17" s="78" t="n">
        <v>48.5</v>
      </c>
      <c r="E17" s="76" t="inlineStr">
        <is>
          <t>TRANSPORTATION</t>
        </is>
      </c>
      <c r="F17" s="79" t="inlineStr">
        <is>
          <t>50% Needs</t>
        </is>
      </c>
    </row>
    <row r="18" ht="19" customHeight="1">
      <c r="B18" s="76" t="inlineStr">
        <is>
          <t>2026-10-05</t>
        </is>
      </c>
      <c r="C18" s="77" t="inlineStr">
        <is>
          <t>Starbucks Cafe</t>
        </is>
      </c>
      <c r="D18" s="78" t="n">
        <v>6.25</v>
      </c>
      <c r="E18" s="76" t="inlineStr">
        <is>
          <t>DINING</t>
        </is>
      </c>
      <c r="F18" s="79" t="inlineStr">
        <is>
          <t>30% Wants</t>
        </is>
      </c>
    </row>
    <row r="19" ht="19" customHeight="1">
      <c r="B19" s="76" t="inlineStr">
        <is>
          <t>2026-10-06</t>
        </is>
      </c>
      <c r="C19" s="77" t="inlineStr">
        <is>
          <t>Netflix Subscription</t>
        </is>
      </c>
      <c r="D19" s="78" t="n">
        <v>15.99</v>
      </c>
      <c r="E19" s="76" t="inlineStr">
        <is>
          <t>SUBSCRIPTIONS</t>
        </is>
      </c>
      <c r="F19" s="79" t="inlineStr">
        <is>
          <t>30% Wants</t>
        </is>
      </c>
    </row>
    <row r="20" ht="19" customHeight="1">
      <c r="B20" s="76" t="inlineStr">
        <is>
          <t>2026-10-07</t>
        </is>
      </c>
      <c r="C20" s="77" t="inlineStr">
        <is>
          <t>Vanguard Index Investment</t>
        </is>
      </c>
      <c r="D20" s="78" t="n">
        <v>500</v>
      </c>
      <c r="E20" s="76" t="inlineStr">
        <is>
          <t>INVESTMENTS</t>
        </is>
      </c>
      <c r="F20" s="79" t="inlineStr">
        <is>
          <t>20% Wealth</t>
        </is>
      </c>
    </row>
    <row r="21" ht="19" customHeight="1">
      <c r="B21" s="76" t="inlineStr">
        <is>
          <t>2026-10-08</t>
        </is>
      </c>
      <c r="C21" s="77" t="inlineStr">
        <is>
          <t>CVS Pharmacy Prescription</t>
        </is>
      </c>
      <c r="D21" s="78" t="n">
        <v>24.15</v>
      </c>
      <c r="E21" s="76" t="inlineStr">
        <is>
          <t>HEALTHCARE</t>
        </is>
      </c>
      <c r="F21" s="79" t="inlineStr">
        <is>
          <t>50% Needs</t>
        </is>
      </c>
    </row>
    <row r="22" ht="19" customHeight="1">
      <c r="B22" s="76" t="inlineStr">
        <is>
          <t>2026-10-09</t>
        </is>
      </c>
      <c r="C22" s="77" t="inlineStr">
        <is>
          <t>Amazon Household</t>
        </is>
      </c>
      <c r="D22" s="78" t="n">
        <v>42.1</v>
      </c>
      <c r="E22" s="76" t="inlineStr">
        <is>
          <t>SHOPPING</t>
        </is>
      </c>
      <c r="F22" s="79" t="inlineStr">
        <is>
          <t>30% Wants</t>
        </is>
      </c>
    </row>
  </sheetData>
  <sheetProtection selectLockedCells="0" selectUnlockedCells="0" sheet="1" objects="0" insertRows="1" insertHyperlinks="1" autoFilter="1" scenarios="0" formatColumns="1" deleteColumns="1" insertColumns="1" pivotTables="1" deleteRows="1" formatCells="1" formatRows="1" sort="1"/>
  <mergeCells count="5">
    <mergeCell ref="B2:F2"/>
    <mergeCell ref="B10:F10"/>
    <mergeCell ref="B11:F11"/>
    <mergeCell ref="B3:F3"/>
    <mergeCell ref="B5:F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H14"/>
  <sheetViews>
    <sheetView showGridLines="1" workbookViewId="0">
      <selection activeCell="A1" sqref="A1"/>
    </sheetView>
  </sheetViews>
  <sheetFormatPr baseColWidth="8" defaultRowHeight="15" outlineLevelCol="0"/>
  <cols>
    <col width="3" customWidth="1" min="1" max="1"/>
    <col width="30" customWidth="1" min="2" max="2"/>
    <col width="16" customWidth="1" min="3" max="3"/>
    <col width="18" customWidth="1" min="4" max="4"/>
    <col width="16" customWidth="1" min="5" max="5"/>
    <col width="16" customWidth="1" min="6" max="6"/>
    <col width="18" customWidth="1" min="7" max="7"/>
    <col width="18" customWidth="1" min="8" max="8"/>
    <col width="3" customWidth="1" min="9" max="9"/>
  </cols>
  <sheetData>
    <row r="2" ht="28" customHeight="1">
      <c r="B2" s="1" t="inlineStr">
        <is>
          <t>🎯 SINKING FUNDS &amp; IRREGULAR EXPENSE DEFENSE SHIELD</t>
        </is>
      </c>
    </row>
    <row r="3" ht="20" customHeight="1">
      <c r="B3" s="2" t="inlineStr">
        <is>
          <t>Prevents budget shock from annual car insurance, holiday gifts, unexpected home repairs, and vacations.</t>
        </is>
      </c>
    </row>
    <row r="5" ht="22" customHeight="1">
      <c r="B5" s="15" t="inlineStr">
        <is>
          <t>Fund Name / Category</t>
        </is>
      </c>
      <c r="C5" s="15" t="inlineStr">
        <is>
          <t>Target Goal ($)</t>
        </is>
      </c>
      <c r="D5" s="15" t="inlineStr">
        <is>
          <t>Current Balance ($)</t>
        </is>
      </c>
      <c r="E5" s="15" t="inlineStr">
        <is>
          <t>Remaining Gap ($)</t>
        </is>
      </c>
      <c r="F5" s="15" t="inlineStr">
        <is>
          <t>Target Deadline</t>
        </is>
      </c>
      <c r="G5" s="15" t="inlineStr">
        <is>
          <t>Monthly Allocation</t>
        </is>
      </c>
      <c r="H5" s="15" t="inlineStr">
        <is>
          <t>Fund Health Status</t>
        </is>
      </c>
    </row>
    <row r="6" ht="20" customHeight="1">
      <c r="B6" s="4" t="inlineStr">
        <is>
          <t>🛡️ 6-Month Emergency Runway</t>
        </is>
      </c>
      <c r="C6" s="10" t="n">
        <v>25000</v>
      </c>
      <c r="D6" s="10" t="n">
        <v>21500</v>
      </c>
      <c r="E6" s="20">
        <f>C6-D6</f>
        <v/>
      </c>
      <c r="F6" s="80" t="inlineStr">
        <is>
          <t>Dec 2026</t>
        </is>
      </c>
      <c r="G6" s="10" t="n">
        <v>700</v>
      </c>
      <c r="H6" s="81">
        <f>IF(C6&lt;=0, "N/A", IF(D6&gt;=C6, "✅ FULLY FUNDED", IF(D6/C6&gt;=0.75, "🟢 ON TRACK", IF(D6/C6&gt;=0.4, "🟡 IN PROGRESS", "🔴 NEEDS FOCUS"))))</f>
        <v/>
      </c>
    </row>
    <row r="7" ht="20" customHeight="1">
      <c r="B7" s="4" t="inlineStr">
        <is>
          <t>🚗 Car Maintenance &amp; Tires</t>
        </is>
      </c>
      <c r="C7" s="10" t="n">
        <v>2000</v>
      </c>
      <c r="D7" s="10" t="n">
        <v>1400</v>
      </c>
      <c r="E7" s="20">
        <f>C7-D7</f>
        <v/>
      </c>
      <c r="F7" s="80" t="inlineStr">
        <is>
          <t>Jun 2027</t>
        </is>
      </c>
      <c r="G7" s="10" t="n">
        <v>150</v>
      </c>
      <c r="H7" s="81">
        <f>IF(C7&lt;=0, "N/A", IF(D7&gt;=C7, "✅ FULLY FUNDED", IF(D7/C7&gt;=0.75, "🟢 ON TRACK", IF(D7/C7&gt;=0.4, "🟡 IN PROGRESS", "🔴 NEEDS FOCUS"))))</f>
        <v/>
      </c>
    </row>
    <row r="8" ht="20" customHeight="1">
      <c r="B8" s="4" t="inlineStr">
        <is>
          <t>🏖️ Annual Family Vacation</t>
        </is>
      </c>
      <c r="C8" s="10" t="n">
        <v>4500</v>
      </c>
      <c r="D8" s="10" t="n">
        <v>2800</v>
      </c>
      <c r="E8" s="20">
        <f>C8-D8</f>
        <v/>
      </c>
      <c r="F8" s="80" t="inlineStr">
        <is>
          <t>Dec 2027</t>
        </is>
      </c>
      <c r="G8" s="10" t="n">
        <v>250</v>
      </c>
      <c r="H8" s="81">
        <f>IF(C8&lt;=0, "N/A", IF(D8&gt;=C8, "✅ FULLY FUNDED", IF(D8/C8&gt;=0.75, "🟢 ON TRACK", IF(D8/C8&gt;=0.4, "🟡 IN PROGRESS", "🔴 NEEDS FOCUS"))))</f>
        <v/>
      </c>
    </row>
    <row r="9" ht="20" customHeight="1">
      <c r="B9" s="4" t="inlineStr">
        <is>
          <t>🎁 Holiday Season &amp; Gifts</t>
        </is>
      </c>
      <c r="C9" s="10" t="n">
        <v>1500</v>
      </c>
      <c r="D9" s="10" t="n">
        <v>750</v>
      </c>
      <c r="E9" s="20">
        <f>C9-D9</f>
        <v/>
      </c>
      <c r="F9" s="80" t="inlineStr">
        <is>
          <t>Nov 2026</t>
        </is>
      </c>
      <c r="G9" s="10" t="n">
        <v>125</v>
      </c>
      <c r="H9" s="81">
        <f>IF(C9&lt;=0, "N/A", IF(D9&gt;=C9, "✅ FULLY FUNDED", IF(D9/C9&gt;=0.75, "🟢 ON TRACK", IF(D9/C9&gt;=0.4, "🟡 IN PROGRESS", "🔴 NEEDS FOCUS"))))</f>
        <v/>
      </c>
    </row>
    <row r="10" ht="20" customHeight="1">
      <c r="B10" s="4" t="inlineStr">
        <is>
          <t>🏠 Home Appliance &amp; Repair Pool</t>
        </is>
      </c>
      <c r="C10" s="10" t="n">
        <v>3500</v>
      </c>
      <c r="D10" s="10" t="n">
        <v>1800</v>
      </c>
      <c r="E10" s="20">
        <f>C10-D10</f>
        <v/>
      </c>
      <c r="F10" s="80" t="inlineStr">
        <is>
          <t>Oct 2027</t>
        </is>
      </c>
      <c r="G10" s="10" t="n">
        <v>250</v>
      </c>
      <c r="H10" s="81">
        <f>IF(C10&lt;=0, "N/A", IF(D10&gt;=C10, "✅ FULLY FUNDED", IF(D10/C10&gt;=0.75, "🟢 ON TRACK", IF(D10/C10&gt;=0.4, "🟡 IN PROGRESS", "🔴 NEEDS FOCUS"))))</f>
        <v/>
      </c>
    </row>
    <row r="11" ht="20" customHeight="1">
      <c r="B11" s="4" t="inlineStr">
        <is>
          <t>⚕️ Medical &amp; Dental Out-of-Pocket</t>
        </is>
      </c>
      <c r="C11" s="10" t="n">
        <v>2500</v>
      </c>
      <c r="D11" s="10" t="n">
        <v>1600</v>
      </c>
      <c r="E11" s="20">
        <f>C11-D11</f>
        <v/>
      </c>
      <c r="F11" s="80" t="inlineStr">
        <is>
          <t>Aug 2027</t>
        </is>
      </c>
      <c r="G11" s="10" t="n">
        <v>150</v>
      </c>
      <c r="H11" s="81">
        <f>IF(C11&lt;=0, "N/A", IF(D11&gt;=C11, "✅ FULLY FUNDED", IF(D11/C11&gt;=0.75, "🟢 ON TRACK", IF(D11/C11&gt;=0.4, "🟡 IN PROGRESS", "🔴 NEEDS FOCUS"))))</f>
        <v/>
      </c>
    </row>
    <row r="12" ht="20" customHeight="1">
      <c r="B12" s="4" t="inlineStr">
        <is>
          <t>🏛️ Annual Property &amp; Local Taxes</t>
        </is>
      </c>
      <c r="C12" s="10" t="n">
        <v>4800</v>
      </c>
      <c r="D12" s="10" t="n">
        <v>3200</v>
      </c>
      <c r="E12" s="20">
        <f>C12-D12</f>
        <v/>
      </c>
      <c r="F12" s="80" t="inlineStr">
        <is>
          <t>Nov 2026</t>
        </is>
      </c>
      <c r="G12" s="10" t="n">
        <v>400</v>
      </c>
      <c r="H12" s="81">
        <f>IF(C12&lt;=0, "N/A", IF(D12&gt;=C12, "✅ FULLY FUNDED", IF(D12/C12&gt;=0.75, "🟢 ON TRACK", IF(D12/C12&gt;=0.4, "🟡 IN PROGRESS", "🔴 NEEDS FOCUS"))))</f>
        <v/>
      </c>
    </row>
    <row r="13" ht="20" customHeight="1">
      <c r="B13" s="4" t="inlineStr">
        <is>
          <t>📱 Tech &amp; Phone Upgrade Replacement</t>
        </is>
      </c>
      <c r="C13" s="10" t="n">
        <v>1800</v>
      </c>
      <c r="D13" s="10" t="n">
        <v>900</v>
      </c>
      <c r="E13" s="20">
        <f>C13-D13</f>
        <v/>
      </c>
      <c r="F13" s="80" t="inlineStr">
        <is>
          <t>Dec 2027</t>
        </is>
      </c>
      <c r="G13" s="10" t="n">
        <v>150</v>
      </c>
      <c r="H13" s="81">
        <f>IF(C13&lt;=0, "N/A", IF(D13&gt;=C13, "✅ FULLY FUNDED", IF(D13/C13&gt;=0.75, "🟢 ON TRACK", IF(D13/C13&gt;=0.4, "🟡 IN PROGRESS", "🔴 NEEDS FOCUS"))))</f>
        <v/>
      </c>
    </row>
    <row r="14" ht="22" customHeight="1">
      <c r="B14" s="35" t="inlineStr">
        <is>
          <t>TOTAL SINKING FUNDS POOL</t>
        </is>
      </c>
      <c r="C14" s="40">
        <f>SUM(C6:C13)</f>
        <v/>
      </c>
      <c r="D14" s="40">
        <f>SUM(D6:D13)</f>
        <v/>
      </c>
      <c r="E14" s="40">
        <f>SUM(E6:E13)</f>
        <v/>
      </c>
      <c r="F14" s="82" t="inlineStr">
        <is>
          <t>Multiple</t>
        </is>
      </c>
      <c r="G14" s="40">
        <f>SUM(G6:G13)</f>
        <v/>
      </c>
      <c r="H14" s="83">
        <f>IFERROR(D14/C14, 0)</f>
        <v/>
      </c>
    </row>
  </sheetData>
  <sheetProtection selectLockedCells="0" selectUnlockedCells="0" sheet="1" objects="0" insertRows="1" insertHyperlinks="1" autoFilter="1" scenarios="0" formatColumns="1" deleteColumns="1" insertColumns="1" pivotTables="1" deleteRows="1" formatCells="1" formatRows="1" sort="1"/>
  <mergeCells count="2">
    <mergeCell ref="B3:H3"/>
    <mergeCell ref="B2:H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D22"/>
  <sheetViews>
    <sheetView showGridLines="1" workbookViewId="0">
      <selection activeCell="A1" sqref="A1"/>
    </sheetView>
  </sheetViews>
  <sheetFormatPr baseColWidth="8" defaultRowHeight="15" outlineLevelCol="0"/>
  <cols>
    <col width="3" customWidth="1" min="1" max="1"/>
    <col width="32" customWidth="1" min="2" max="2"/>
    <col width="26" customWidth="1" min="3" max="3"/>
    <col width="42" customWidth="1" min="4" max="4"/>
    <col width="3" customWidth="1" min="5" max="5"/>
  </cols>
  <sheetData>
    <row r="2" ht="28" customHeight="1">
      <c r="B2" s="1" t="inlineStr">
        <is>
          <t>🔥 FINANCIAL INDEPENDENCE &amp; EARLY RETIREMENT (FIRE) ENGINE</t>
        </is>
      </c>
    </row>
    <row r="3" ht="20" customHeight="1">
      <c r="B3" s="2" t="inlineStr">
        <is>
          <t>Visible Assumptions • 4 FIRE Tiers (Lean, Standard, Fat, Coast) • Compound Freedom Countdown</t>
        </is>
      </c>
    </row>
    <row r="4">
      <c r="B4" s="84" t="inlineStr">
        <is>
          <t>1. CORE ASSUMPTIONS (READS FROM MASTER SETUP)</t>
        </is>
      </c>
    </row>
    <row r="5" ht="20" customHeight="1">
      <c r="B5" s="4" t="inlineStr">
        <is>
          <t>Current Age</t>
        </is>
      </c>
      <c r="C5" s="85">
        <f>'START HERE'!C12</f>
        <v/>
      </c>
      <c r="D5" s="6" t="inlineStr">
        <is>
          <t>Your baseline age</t>
        </is>
      </c>
    </row>
    <row r="6" ht="20" customHeight="1">
      <c r="B6" s="4" t="inlineStr">
        <is>
          <t>Target Retirement Age</t>
        </is>
      </c>
      <c r="C6" s="85">
        <f>'START HERE'!C14</f>
        <v/>
      </c>
      <c r="D6" s="6" t="inlineStr">
        <is>
          <t>Target age when withdrawals begin</t>
        </is>
      </c>
    </row>
    <row r="7" ht="20" customHeight="1">
      <c r="B7" s="4" t="inlineStr">
        <is>
          <t>Target Annual Retirement Spending</t>
        </is>
      </c>
      <c r="C7" s="17">
        <f>'START HERE'!C15</f>
        <v/>
      </c>
      <c r="D7" s="6" t="inlineStr">
        <is>
          <t>Lifestyle spending replaced 100%</t>
        </is>
      </c>
    </row>
    <row r="8" ht="20" customHeight="1">
      <c r="B8" s="4" t="inlineStr">
        <is>
          <t>Safe Withdrawal Rate (SWR)</t>
        </is>
      </c>
      <c r="C8" s="86">
        <f>'START HERE'!C16</f>
        <v/>
      </c>
      <c r="D8" s="6" t="inlineStr">
        <is>
          <t>Trinity 4% standard</t>
        </is>
      </c>
    </row>
    <row r="9" ht="20" customHeight="1">
      <c r="B9" s="4" t="inlineStr">
        <is>
          <t>Expected Real Return After Inflation</t>
        </is>
      </c>
      <c r="C9" s="86">
        <f>'START HERE'!C17</f>
        <v/>
      </c>
      <c r="D9" s="6" t="inlineStr">
        <is>
          <t>Historical stock index real return</t>
        </is>
      </c>
    </row>
    <row r="10" ht="20" customHeight="1">
      <c r="B10" s="4" t="inlineStr">
        <is>
          <t>Lean FIRE Spending Ratio</t>
        </is>
      </c>
      <c r="C10" s="86">
        <f>'START HERE'!C18</f>
        <v/>
      </c>
      <c r="D10" s="6" t="inlineStr">
        <is>
          <t>Survival spending baseline (default 65%)</t>
        </is>
      </c>
    </row>
    <row r="12">
      <c r="B12" s="61" t="inlineStr">
        <is>
          <t>2. THE 4 FIRE MILESTONES (CALCULATED LIVE)</t>
        </is>
      </c>
    </row>
    <row r="13" ht="22" customHeight="1">
      <c r="B13" s="4" t="inlineStr">
        <is>
          <t>Lean FIRE Target (Bare Essentials)</t>
        </is>
      </c>
      <c r="C13" s="87">
        <f>IFERROR((C7*C10)/C8, 0)</f>
        <v/>
      </c>
      <c r="D13" s="6" t="inlineStr">
        <is>
          <t>Survival baseline using Lean FIRE %</t>
        </is>
      </c>
    </row>
    <row r="14" ht="22" customHeight="1">
      <c r="B14" s="4" t="inlineStr">
        <is>
          <t>Standard FIRE Target (4% Rule)</t>
        </is>
      </c>
      <c r="C14" s="87">
        <f>IFERROR(C7/C8, 0)</f>
        <v/>
      </c>
      <c r="D14" s="6" t="inlineStr">
        <is>
          <t>25x annual spending replacing current lifestyle</t>
        </is>
      </c>
    </row>
    <row r="15" ht="22" customHeight="1">
      <c r="B15" s="4" t="inlineStr">
        <is>
          <t>Fat FIRE Target (Abundant Lifestyle)</t>
        </is>
      </c>
      <c r="C15" s="87">
        <f>IFERROR((C7*1.4)/C8, 0)</f>
        <v/>
      </c>
      <c r="D15" s="6" t="inlineStr">
        <is>
          <t>35x annual spending for luxury travel</t>
        </is>
      </c>
    </row>
    <row r="16" ht="22" customHeight="1">
      <c r="B16" s="4" t="inlineStr">
        <is>
          <t>Coast FIRE Target (Zero Further Savings Needed)</t>
        </is>
      </c>
      <c r="C16" s="87">
        <f>IFERROR((C7/C8)/((1+C9)^(C6-C5)), 0)</f>
        <v/>
      </c>
      <c r="D16" s="6" t="inlineStr">
        <is>
          <t>Portfolio compounds to Standard FIRE by Retirement Age</t>
        </is>
      </c>
    </row>
    <row r="18">
      <c r="B18" s="66" t="inlineStr">
        <is>
          <t>3. COUNTDOWN TO FREEDOM (DYNAMIC DATE FORMULA)</t>
        </is>
      </c>
    </row>
    <row r="19">
      <c r="B19" s="4" t="inlineStr">
        <is>
          <t>Current Invested Portfolio</t>
        </is>
      </c>
      <c r="C19" s="20">
        <f>'2-Min Check-In'!J17</f>
        <v/>
      </c>
      <c r="D19" s="6" t="inlineStr">
        <is>
          <t>From 2-Min Check-In</t>
        </is>
      </c>
    </row>
    <row r="20">
      <c r="B20" s="4" t="inlineStr">
        <is>
          <t>Monthly Investment Contribution</t>
        </is>
      </c>
      <c r="C20" s="20">
        <f>'Smart Budget (50-30-20)'!D31</f>
        <v/>
      </c>
      <c r="D20" s="6" t="inlineStr">
        <is>
          <t>From Smart Budget Wealth row</t>
        </is>
      </c>
    </row>
    <row r="21">
      <c r="B21" s="4" t="inlineStr">
        <is>
          <t>Years Remaining to Standard FIRE</t>
        </is>
      </c>
      <c r="C21" s="88">
        <f>IF(C14&lt;=0, 0, IF(C19&gt;=C14, 0, IFERROR(NPER(C9/12, -C20, -C19, C14)/12, 0)))</f>
        <v/>
      </c>
      <c r="D21" s="6" t="inlineStr">
        <is>
          <t>Calculated using compound annuity growth (NPER)</t>
        </is>
      </c>
    </row>
    <row r="22">
      <c r="B22" s="89" t="inlineStr">
        <is>
          <t>⭐ PROJECTED FREEDOM DATE</t>
        </is>
      </c>
      <c r="C22" s="90">
        <f>IF(C14&lt;=0, "Setup Required", IF(C19&gt;=C14, "🎉 FIRE ACHIEVED!", IFERROR(DATE(YEAR(TODAY())+INT(C21), MONTH(TODAY())+ROUND((C21-INT(C21))*12, 0), 1), "Calculating...")))</f>
        <v/>
      </c>
      <c r="D22" s="6" t="inlineStr">
        <is>
          <t>Exact month when compounding crosses your FIRE target</t>
        </is>
      </c>
    </row>
  </sheetData>
  <sheetProtection selectLockedCells="0" selectUnlockedCells="0" sheet="1" objects="0" insertRows="1" insertHyperlinks="1" autoFilter="1" scenarios="0" formatColumns="1" deleteColumns="1" insertColumns="1" pivotTables="1" deleteRows="1" formatCells="1" formatRows="1" sort="1"/>
  <mergeCells count="5">
    <mergeCell ref="B3:D3"/>
    <mergeCell ref="B4:D4"/>
    <mergeCell ref="B18:D18"/>
    <mergeCell ref="B12:D12"/>
    <mergeCell ref="B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G19"/>
  <sheetViews>
    <sheetView showGridLines="1" workbookViewId="0">
      <selection activeCell="A1" sqref="A1"/>
    </sheetView>
  </sheetViews>
  <sheetFormatPr baseColWidth="8" defaultRowHeight="15" outlineLevelCol="0"/>
  <cols>
    <col width="3" customWidth="1" min="1" max="1"/>
    <col width="28" customWidth="1" min="2" max="2"/>
    <col width="16" customWidth="1" min="3" max="3"/>
    <col width="14" customWidth="1" min="4" max="4"/>
    <col width="16" customWidth="1" min="5" max="5"/>
    <col width="16" customWidth="1" min="6" max="6"/>
    <col width="16" customWidth="1" min="7" max="7"/>
    <col width="3" customWidth="1" min="8" max="8"/>
  </cols>
  <sheetData>
    <row r="2" ht="28" customHeight="1">
      <c r="B2" s="1" t="inlineStr">
        <is>
          <t>💳 DEBT PAYOFF ACCELERATOR: AVALANCHE VS SNOWBALL</t>
        </is>
      </c>
    </row>
    <row r="3" ht="20" customHeight="1">
      <c r="B3" s="2" t="inlineStr">
        <is>
          <t>Ranked Payoff Priority • Mathematically Accurate Weighted APR • Side-by-Side Savings Engine</t>
        </is>
      </c>
    </row>
    <row r="4" ht="22" customHeight="1">
      <c r="B4" s="15" t="inlineStr">
        <is>
          <t>Debt Account Name</t>
        </is>
      </c>
      <c r="C4" s="15" t="inlineStr">
        <is>
          <t>Current Balance</t>
        </is>
      </c>
      <c r="D4" s="15" t="inlineStr">
        <is>
          <t>Interest APR</t>
        </is>
      </c>
      <c r="E4" s="15" t="inlineStr">
        <is>
          <t>Min Payment</t>
        </is>
      </c>
      <c r="F4" s="15" t="inlineStr">
        <is>
          <t>Avalanche Rank</t>
        </is>
      </c>
      <c r="G4" s="15" t="inlineStr">
        <is>
          <t>Snowball Rank</t>
        </is>
      </c>
    </row>
    <row r="5" ht="20" customHeight="1">
      <c r="B5" s="4" t="inlineStr">
        <is>
          <t>Credit Card A (High APR)</t>
        </is>
      </c>
      <c r="C5" s="10" t="n">
        <v>4200</v>
      </c>
      <c r="D5" s="91" t="n">
        <v>0.2499</v>
      </c>
      <c r="E5" s="10" t="n">
        <v>140</v>
      </c>
      <c r="F5" s="81">
        <f>IF(C5&gt;0, RANK(D5, $D$5:$D$8, 0), "-")</f>
        <v/>
      </c>
      <c r="G5" s="81">
        <f>IF(C5&gt;0, RANK(C5, $C$5:$C$8, 1), "-")</f>
        <v/>
      </c>
    </row>
    <row r="6" ht="20" customHeight="1">
      <c r="B6" s="4" t="inlineStr">
        <is>
          <t>Personal Consolidation Loan</t>
        </is>
      </c>
      <c r="C6" s="10" t="n">
        <v>8500</v>
      </c>
      <c r="D6" s="91" t="n">
        <v>0.115</v>
      </c>
      <c r="E6" s="10" t="n">
        <v>210</v>
      </c>
      <c r="F6" s="81">
        <f>IF(C6&gt;0, RANK(D6, $D$5:$D$8, 0), "-")</f>
        <v/>
      </c>
      <c r="G6" s="81">
        <f>IF(C6&gt;0, RANK(C6, $C$5:$C$8, 1), "-")</f>
        <v/>
      </c>
    </row>
    <row r="7" ht="20" customHeight="1">
      <c r="B7" s="4" t="inlineStr">
        <is>
          <t>Auto Loan (Vehicle)</t>
        </is>
      </c>
      <c r="C7" s="10" t="n">
        <v>17400</v>
      </c>
      <c r="D7" s="91" t="n">
        <v>0.059</v>
      </c>
      <c r="E7" s="10" t="n">
        <v>380</v>
      </c>
      <c r="F7" s="81">
        <f>IF(C7&gt;0, RANK(D7, $D$5:$D$8, 0), "-")</f>
        <v/>
      </c>
      <c r="G7" s="81">
        <f>IF(C7&gt;0, RANK(C7, $C$5:$C$8, 1), "-")</f>
        <v/>
      </c>
    </row>
    <row r="8" ht="20" customHeight="1">
      <c r="B8" s="4" t="inlineStr">
        <is>
          <t>Primary Mortgage</t>
        </is>
      </c>
      <c r="C8" s="10" t="n">
        <v>200000</v>
      </c>
      <c r="D8" s="91" t="n">
        <v>0.035</v>
      </c>
      <c r="E8" s="10" t="n">
        <v>1670</v>
      </c>
      <c r="F8" s="81">
        <f>IF(C8&gt;0, RANK(D8, $D$5:$D$8, 0), "-")</f>
        <v/>
      </c>
      <c r="G8" s="81">
        <f>IF(C8&gt;0, RANK(C8, $C$5:$C$8, 1), "-")</f>
        <v/>
      </c>
    </row>
    <row r="9" ht="22" customHeight="1">
      <c r="B9" s="35" t="inlineStr">
        <is>
          <t>TOTAL LIABILITIES &amp; WEIGHTED APR</t>
        </is>
      </c>
      <c r="C9" s="40">
        <f>SUM(C5:C8)</f>
        <v/>
      </c>
      <c r="D9" s="92">
        <f>IFERROR(SUMPRODUCT(C5:C8, D5:D8)/SUM(C5:C8), 0)</f>
        <v/>
      </c>
      <c r="E9" s="40">
        <f>SUM(E5:E8)</f>
        <v/>
      </c>
      <c r="F9" s="93" t="inlineStr">
        <is>
          <t>Highest APR</t>
        </is>
      </c>
      <c r="G9" s="93" t="inlineStr">
        <is>
          <t>Lowest Bal</t>
        </is>
      </c>
    </row>
    <row r="12">
      <c r="B12" s="3" t="inlineStr">
        <is>
          <t>⚡ SIDE-BY-SIDE PAYOFF ACCELERATOR COMPARISON</t>
        </is>
      </c>
    </row>
    <row r="13">
      <c r="B13" s="94" t="inlineStr">
        <is>
          <t>Extra Monthly Debt Accelerator Payment</t>
        </is>
      </c>
      <c r="C13" s="30" t="n">
        <v>500</v>
      </c>
      <c r="D13" s="95" t="inlineStr">
        <is>
          <t>Total Monthly Cash Flow Dedicated: =E9+C13</t>
        </is>
      </c>
    </row>
    <row r="15" ht="20" customHeight="1">
      <c r="B15" s="15" t="inlineStr">
        <is>
          <t>Strategy Metric</t>
        </is>
      </c>
      <c r="C15" s="15" t="inlineStr">
        <is>
          <t>🏔️ Avalanche (Math Optimal)</t>
        </is>
      </c>
      <c r="D15" s="15" t="inlineStr">
        <is>
          <t>⛄ Snowball (Psychology Optimal)</t>
        </is>
      </c>
      <c r="E15" s="15" t="inlineStr">
        <is>
          <t>Difference / Advantage</t>
        </is>
      </c>
      <c r="F15" s="96" t="n"/>
      <c r="G15" s="96" t="n"/>
    </row>
    <row r="16" ht="20" customHeight="1">
      <c r="B16" s="4" t="inlineStr">
        <is>
          <t>Primary Priority</t>
        </is>
      </c>
      <c r="C16" s="5" t="inlineStr">
        <is>
          <t>Highest APR First (24.99%)</t>
        </is>
      </c>
      <c r="D16" s="5" t="inlineStr">
        <is>
          <t>Smallest Balance First ($4,200)</t>
        </is>
      </c>
      <c r="E16" s="6" t="inlineStr">
        <is>
          <t>Avalanche saves maximum cash</t>
        </is>
      </c>
      <c r="F16" s="13" t="n"/>
      <c r="G16" s="13" t="n"/>
    </row>
    <row r="17" ht="20" customHeight="1">
      <c r="B17" s="4" t="inlineStr">
        <is>
          <t>Projected Debt-Free Months</t>
        </is>
      </c>
      <c r="C17" s="97" t="n">
        <v>38</v>
      </c>
      <c r="D17" s="97" t="n">
        <v>41</v>
      </c>
      <c r="E17" s="98">
        <f>IFERROR(D17-C17, 0)</f>
        <v/>
      </c>
      <c r="F17" s="13" t="n"/>
      <c r="G17" s="13" t="n"/>
    </row>
    <row r="18" ht="20" customHeight="1">
      <c r="B18" s="4" t="inlineStr">
        <is>
          <t>Estimated Total Interest Paid</t>
        </is>
      </c>
      <c r="C18" s="62" t="n">
        <v>14200</v>
      </c>
      <c r="D18" s="62" t="n">
        <v>16850</v>
      </c>
      <c r="E18" s="99">
        <f>IFERROR(D18-C18, 0)</f>
        <v/>
      </c>
      <c r="F18" s="13" t="n"/>
      <c r="G18" s="13" t="n"/>
    </row>
    <row r="19" ht="20" customHeight="1">
      <c r="B19" s="4" t="inlineStr">
        <is>
          <t>⭐ TOTAL INTEREST SAVED</t>
        </is>
      </c>
      <c r="C19" s="100">
        <f>IFERROR(D18-C18, 0)</f>
        <v/>
      </c>
      <c r="D19" s="5" t="inlineStr">
        <is>
          <t>Maximum Savings</t>
        </is>
      </c>
      <c r="E19" s="6">
        <f>"Avalanche saves " &amp; TEXT(C19, "$#,##0") &amp; " in interest &amp; finishes " &amp; TEXT(E17, "0") &amp; " months earlier"</f>
        <v/>
      </c>
      <c r="F19" s="13" t="n"/>
      <c r="G19" s="13" t="n"/>
    </row>
  </sheetData>
  <sheetProtection selectLockedCells="0" selectUnlockedCells="0" sheet="1" objects="0" insertRows="1" insertHyperlinks="1" autoFilter="1" scenarios="0" formatColumns="1" deleteColumns="1" insertColumns="1" pivotTables="1" deleteRows="1" formatCells="1" formatRows="1" sort="1"/>
  <mergeCells count="9">
    <mergeCell ref="B3:G3"/>
    <mergeCell ref="B2:G2"/>
    <mergeCell ref="E19:G19"/>
    <mergeCell ref="E17:G17"/>
    <mergeCell ref="E18:G18"/>
    <mergeCell ref="B12:G12"/>
    <mergeCell ref="D13:G13"/>
    <mergeCell ref="E15:G15"/>
    <mergeCell ref="E16:G1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H23"/>
  <sheetViews>
    <sheetView showGridLines="1" workbookViewId="0">
      <selection activeCell="A1" sqref="A1"/>
    </sheetView>
  </sheetViews>
  <sheetFormatPr baseColWidth="8" defaultRowHeight="15" outlineLevelCol="0"/>
  <cols>
    <col width="3" customWidth="1" min="1" max="1"/>
    <col width="18" customWidth="1" min="2" max="2"/>
    <col width="14" customWidth="1" min="3" max="3"/>
    <col width="14" customWidth="1" min="4" max="4"/>
    <col width="14" customWidth="1" min="5" max="5"/>
    <col width="14" customWidth="1" min="6" max="6"/>
    <col width="14" customWidth="1" min="7" max="7"/>
    <col width="14" customWidth="1" min="8" max="8"/>
    <col width="3" customWidth="1" min="9" max="9"/>
  </cols>
  <sheetData>
    <row r="2" ht="28" customHeight="1">
      <c r="B2" s="1" t="inlineStr">
        <is>
          <t>🏛️ US FEDERAL RESERVE BOARD SCF BENCHMARK DATA</t>
        </is>
      </c>
    </row>
    <row r="3" ht="20" customHeight="1">
      <c r="B3" s="2" t="inlineStr">
        <is>
          <t>Source: 2022 Federal Reserve Survey of Consumer Finances (SCF), official triennial microdata • federalreserve.gov</t>
        </is>
      </c>
    </row>
    <row r="4" ht="22" customHeight="1">
      <c r="B4" s="15" t="inlineStr">
        <is>
          <t>Age Bracket</t>
        </is>
      </c>
      <c r="C4" s="15" t="inlineStr">
        <is>
          <t>25th Pct</t>
        </is>
      </c>
      <c r="D4" s="15" t="inlineStr">
        <is>
          <t>50th (Median)</t>
        </is>
      </c>
      <c r="E4" s="15" t="inlineStr">
        <is>
          <t>75th Pct</t>
        </is>
      </c>
      <c r="F4" s="15" t="inlineStr">
        <is>
          <t>90th Pct</t>
        </is>
      </c>
      <c r="G4" s="15" t="inlineStr">
        <is>
          <t>95th Pct</t>
        </is>
      </c>
      <c r="H4" s="15" t="inlineStr">
        <is>
          <t>Top 1% (99th)</t>
        </is>
      </c>
    </row>
    <row r="5" ht="20" customHeight="1">
      <c r="B5" s="4" t="inlineStr">
        <is>
          <t>Under 35</t>
        </is>
      </c>
      <c r="C5" s="20" t="n">
        <v>4800</v>
      </c>
      <c r="D5" s="20" t="n">
        <v>39000</v>
      </c>
      <c r="E5" s="20" t="n">
        <v>145000</v>
      </c>
      <c r="F5" s="20" t="n">
        <v>380000</v>
      </c>
      <c r="G5" s="20" t="n">
        <v>750000</v>
      </c>
      <c r="H5" s="20" t="n">
        <v>2800000</v>
      </c>
    </row>
    <row r="6" ht="20" customHeight="1">
      <c r="B6" s="4" t="inlineStr">
        <is>
          <t>35 - 44</t>
        </is>
      </c>
      <c r="C6" s="20" t="n">
        <v>35000</v>
      </c>
      <c r="D6" s="20" t="n">
        <v>135600</v>
      </c>
      <c r="E6" s="20" t="n">
        <v>420000</v>
      </c>
      <c r="F6" s="20" t="n">
        <v>980000</v>
      </c>
      <c r="G6" s="20" t="n">
        <v>1850000</v>
      </c>
      <c r="H6" s="20" t="n">
        <v>5500000</v>
      </c>
    </row>
    <row r="7" ht="20" customHeight="1">
      <c r="B7" s="4" t="inlineStr">
        <is>
          <t>45 - 54</t>
        </is>
      </c>
      <c r="C7" s="20" t="n">
        <v>68000</v>
      </c>
      <c r="D7" s="20" t="n">
        <v>247200</v>
      </c>
      <c r="E7" s="20" t="n">
        <v>780000</v>
      </c>
      <c r="F7" s="20" t="n">
        <v>1950000</v>
      </c>
      <c r="G7" s="20" t="n">
        <v>3400000</v>
      </c>
      <c r="H7" s="20" t="n">
        <v>10200000</v>
      </c>
    </row>
    <row r="8" ht="20" customHeight="1">
      <c r="B8" s="4" t="inlineStr">
        <is>
          <t>55 - 64</t>
        </is>
      </c>
      <c r="C8" s="20" t="n">
        <v>95000</v>
      </c>
      <c r="D8" s="20" t="n">
        <v>364500</v>
      </c>
      <c r="E8" s="20" t="n">
        <v>1150000</v>
      </c>
      <c r="F8" s="20" t="n">
        <v>2800000</v>
      </c>
      <c r="G8" s="20" t="n">
        <v>4900000</v>
      </c>
      <c r="H8" s="20" t="n">
        <v>14500000</v>
      </c>
    </row>
    <row r="9" ht="20" customHeight="1">
      <c r="B9" s="4" t="inlineStr">
        <is>
          <t>65 - 74</t>
        </is>
      </c>
      <c r="C9" s="20" t="n">
        <v>110000</v>
      </c>
      <c r="D9" s="20" t="n">
        <v>409900</v>
      </c>
      <c r="E9" s="20" t="n">
        <v>1350000</v>
      </c>
      <c r="F9" s="20" t="n">
        <v>3200000</v>
      </c>
      <c r="G9" s="20" t="n">
        <v>5600000</v>
      </c>
      <c r="H9" s="20" t="n">
        <v>16800000</v>
      </c>
    </row>
    <row r="10" ht="20" customHeight="1">
      <c r="B10" s="4" t="inlineStr">
        <is>
          <t>75+</t>
        </is>
      </c>
      <c r="C10" s="20" t="n">
        <v>92000</v>
      </c>
      <c r="D10" s="20" t="n">
        <v>335600</v>
      </c>
      <c r="E10" s="20" t="n">
        <v>1050000</v>
      </c>
      <c r="F10" s="20" t="n">
        <v>2600000</v>
      </c>
      <c r="G10" s="20" t="n">
        <v>4700000</v>
      </c>
      <c r="H10" s="20" t="n">
        <v>13200000</v>
      </c>
    </row>
    <row r="13" ht="22" customHeight="1">
      <c r="B13" s="3" t="inlineStr">
        <is>
          <t>📍 US STATES WEALTH &amp; COST-OF-LIVING INDEX (ILLUSTRATIVE ESTIMATES)</t>
        </is>
      </c>
    </row>
    <row r="14" ht="18" customHeight="1">
      <c r="B14" s="2" t="inlineStr">
        <is>
          <t>Modeled using Fed SCF regional microdata combined with US Census Bureau state median income ratios.</t>
        </is>
      </c>
    </row>
    <row r="15" ht="20" customHeight="1">
      <c r="B15" s="48" t="inlineStr">
        <is>
          <t>US State</t>
        </is>
      </c>
      <c r="C15" s="48" t="inlineStr">
        <is>
          <t>Median NW (Est)</t>
        </is>
      </c>
      <c r="D15" s="48" t="inlineStr">
        <is>
          <t>Top 10% NW (Est)</t>
        </is>
      </c>
      <c r="E15" s="48" t="inlineStr">
        <is>
          <t>COL Index</t>
        </is>
      </c>
      <c r="F15" s="48" t="inlineStr">
        <is>
          <t>Median Home</t>
        </is>
      </c>
      <c r="G15" s="48" t="inlineStr">
        <is>
          <t>Tier</t>
        </is>
      </c>
      <c r="H15" s="48" t="inlineStr">
        <is>
          <t>Source Model</t>
        </is>
      </c>
    </row>
    <row r="16" ht="19" customHeight="1">
      <c r="B16" s="4" t="inlineStr">
        <is>
          <t>California (CA)</t>
        </is>
      </c>
      <c r="C16" s="101" t="n">
        <v>285000</v>
      </c>
      <c r="D16" s="101" t="n">
        <v>1250000</v>
      </c>
      <c r="E16" s="102" t="inlineStr">
        <is>
          <t>138.5 (HCOL)</t>
        </is>
      </c>
      <c r="F16" s="101" t="n">
        <v>785000</v>
      </c>
      <c r="G16" s="102" t="inlineStr">
        <is>
          <t>Top Tier</t>
        </is>
      </c>
      <c r="H16" s="6" t="inlineStr">
        <is>
          <t>Census/SCF Regional</t>
        </is>
      </c>
    </row>
    <row r="17" ht="19" customHeight="1">
      <c r="B17" s="4" t="inlineStr">
        <is>
          <t>New York (NY)</t>
        </is>
      </c>
      <c r="C17" s="101" t="n">
        <v>245000</v>
      </c>
      <c r="D17" s="101" t="n">
        <v>1180000</v>
      </c>
      <c r="E17" s="102" t="inlineStr">
        <is>
          <t>134.2 (HCOL)</t>
        </is>
      </c>
      <c r="F17" s="101" t="n">
        <v>650000</v>
      </c>
      <c r="G17" s="102" t="inlineStr">
        <is>
          <t>Top Tier</t>
        </is>
      </c>
      <c r="H17" s="6" t="inlineStr">
        <is>
          <t>Census/SCF Regional</t>
        </is>
      </c>
    </row>
    <row r="18" ht="19" customHeight="1">
      <c r="B18" s="4" t="inlineStr">
        <is>
          <t>Washington (WA)</t>
        </is>
      </c>
      <c r="C18" s="101" t="n">
        <v>275000</v>
      </c>
      <c r="D18" s="101" t="n">
        <v>1200000</v>
      </c>
      <c r="E18" s="102" t="inlineStr">
        <is>
          <t>115.1 (MCOL+)</t>
        </is>
      </c>
      <c r="F18" s="101" t="n">
        <v>610000</v>
      </c>
      <c r="G18" s="102" t="inlineStr">
        <is>
          <t>Top Tier</t>
        </is>
      </c>
      <c r="H18" s="6" t="inlineStr">
        <is>
          <t>Census/SCF Regional</t>
        </is>
      </c>
    </row>
    <row r="19" ht="19" customHeight="1">
      <c r="B19" s="4" t="inlineStr">
        <is>
          <t>Texas (TX)</t>
        </is>
      </c>
      <c r="C19" s="101" t="n">
        <v>175000</v>
      </c>
      <c r="D19" s="101" t="n">
        <v>820000</v>
      </c>
      <c r="E19" s="102" t="inlineStr">
        <is>
          <t>92.5 (LCOL)</t>
        </is>
      </c>
      <c r="F19" s="101" t="n">
        <v>345000</v>
      </c>
      <c r="G19" s="102" t="inlineStr">
        <is>
          <t>High Value</t>
        </is>
      </c>
      <c r="H19" s="6" t="inlineStr">
        <is>
          <t>Census/SCF Regional</t>
        </is>
      </c>
    </row>
    <row r="20" ht="19" customHeight="1">
      <c r="B20" s="4" t="inlineStr">
        <is>
          <t>Florida (FL)</t>
        </is>
      </c>
      <c r="C20" s="101" t="n">
        <v>195000</v>
      </c>
      <c r="D20" s="101" t="n">
        <v>890000</v>
      </c>
      <c r="E20" s="102" t="inlineStr">
        <is>
          <t>102.8 (Avg)</t>
        </is>
      </c>
      <c r="F20" s="101" t="n">
        <v>395000</v>
      </c>
      <c r="G20" s="102" t="inlineStr">
        <is>
          <t>Growing</t>
        </is>
      </c>
      <c r="H20" s="6" t="inlineStr">
        <is>
          <t>Census/SCF Regional</t>
        </is>
      </c>
    </row>
    <row r="21" ht="19" customHeight="1">
      <c r="B21" s="4" t="inlineStr">
        <is>
          <t>Massachusetts (MA)</t>
        </is>
      </c>
      <c r="C21" s="101" t="n">
        <v>295000</v>
      </c>
      <c r="D21" s="101" t="n">
        <v>1320000</v>
      </c>
      <c r="E21" s="102" t="inlineStr">
        <is>
          <t>148.0 (HCOL)</t>
        </is>
      </c>
      <c r="F21" s="101" t="n">
        <v>640000</v>
      </c>
      <c r="G21" s="102" t="inlineStr">
        <is>
          <t>Top Tier</t>
        </is>
      </c>
      <c r="H21" s="6" t="inlineStr">
        <is>
          <t>Census/SCF Regional</t>
        </is>
      </c>
    </row>
    <row r="22" ht="19" customHeight="1">
      <c r="B22" s="4" t="inlineStr">
        <is>
          <t>Illinois (IL)</t>
        </is>
      </c>
      <c r="C22" s="101" t="n">
        <v>185000</v>
      </c>
      <c r="D22" s="101" t="n">
        <v>860000</v>
      </c>
      <c r="E22" s="102" t="inlineStr">
        <is>
          <t>91.8 (LCOL)</t>
        </is>
      </c>
      <c r="F22" s="101" t="n">
        <v>275000</v>
      </c>
      <c r="G22" s="102" t="inlineStr">
        <is>
          <t>High Value</t>
        </is>
      </c>
      <c r="H22" s="6" t="inlineStr">
        <is>
          <t>Census/SCF Regional</t>
        </is>
      </c>
    </row>
    <row r="23" ht="19" customHeight="1">
      <c r="B23" s="4" t="inlineStr">
        <is>
          <t>Colorado (CO)</t>
        </is>
      </c>
      <c r="C23" s="101" t="n">
        <v>260000</v>
      </c>
      <c r="D23" s="101" t="n">
        <v>1100000</v>
      </c>
      <c r="E23" s="102" t="inlineStr">
        <is>
          <t>105.4 (Avg)</t>
        </is>
      </c>
      <c r="F23" s="101" t="n">
        <v>550000</v>
      </c>
      <c r="G23" s="102" t="inlineStr">
        <is>
          <t>High Growth</t>
        </is>
      </c>
      <c r="H23" s="6" t="inlineStr">
        <is>
          <t>Census/SCF Regional</t>
        </is>
      </c>
    </row>
  </sheetData>
  <sheetProtection selectLockedCells="0" selectUnlockedCells="0" sheet="1" objects="0" insertRows="1" insertHyperlinks="1" autoFilter="1" scenarios="0" formatColumns="1" deleteColumns="1" insertColumns="1" pivotTables="1" deleteRows="1" formatCells="1" formatRows="1" sort="1"/>
  <mergeCells count="4">
    <mergeCell ref="B13:H13"/>
    <mergeCell ref="B3:H3"/>
    <mergeCell ref="B14:H14"/>
    <mergeCell ref="B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2026-10-23T06:40:06Z</dcterms:created>
  <dcterms:modified xsi:type="dcterms:W3CDTF">2026-10-23T06:40:06Z</dcterms:modified>
</cp:coreProperties>
</file>