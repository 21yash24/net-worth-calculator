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⚡ 2-Min Quick Check-In" state="visible" r:id="rId4"/>
    <sheet sheetId="2" name="📊 Executive Dashboard" state="visible" r:id="rId5"/>
    <sheet sheetId="3" name="💸 Smart Budget (50-30-20)" state="visible" r:id="rId6"/>
    <sheet sheetId="4" name="🎯 Sinking Funds Shield" state="visible" r:id="rId7"/>
    <sheet sheetId="5" name="🔥 FIRE Freedom Engine" state="visible" r:id="rId8"/>
    <sheet sheetId="6" name="💳 Debt Avalanche &amp; Snowball" state="visible" r:id="rId9"/>
    <sheet sheetId="7" name="🏛️ Fed Benchmarks (SCF)" state="visible" r:id="rId10"/>
  </sheets>
  <calcPr calcId="171027"/>
</workbook>
</file>

<file path=xl/sharedStrings.xml><?xml version="1.0" encoding="utf-8"?>
<sst xmlns="http://schemas.openxmlformats.org/spreadsheetml/2006/main" count="158" uniqueCount="150">
  <si>
    <t>⚡ 2-MINUTE MONTHLY QUICK CHECK-IN (NO HOMEWORK, NO OVERWHELM)</t>
  </si>
  <si>
    <t>Rule of Thumb: On the 1st of each month, type just 4 numbers (green headers). Everything else calculates automatically.</t>
  </si>
  <si>
    <t>Month</t>
  </si>
  <si>
    <t>💵 Cash &amp; Savings</t>
  </si>
  <si>
    <t>📈 Invested Portfolio</t>
  </si>
  <si>
    <t>🏠 Property &amp; Assets</t>
  </si>
  <si>
    <t>💳 Total Debts</t>
  </si>
  <si>
    <t>🏛️ NET WORTH</t>
  </si>
  <si>
    <t>MoM Gain ($)</t>
  </si>
  <si>
    <t>MoM Growth (%)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</si>
  <si>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</si>
  <si>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</si>
  <si>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</si>
  <si>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</si>
  <si>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</si>
  <si>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</si>
  <si>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</si>
  <si>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</si>
  <si>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</si>
  <si>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</si>
  <si>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</si>
  <si>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</si>
  <si>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LATEST / ANNUAL</t>
  </si>
  <si>
    <t>🏛️ NET WORTH &amp; FINANCIAL INDEPENDENCE MASTER VAULT (2026 EDITION)</t>
  </si>
  <si>
    <t>Private Wealth Dashboard • Federal Reserve SCF Percentile Engine • Trinity Study FIRE Calculator</t>
  </si>
  <si>
    <t>TOTAL NET WORTH (AS OF DEC)</t>
  </si>
  <si>
    <t>LIQUID INVESTED PORTFOLIO</t>
  </si>
  <si>
    <t>FED RESERVE SCF RANK</t>
  </si>
  <si>
    <t>Top 12%</t>
  </si>
  <si>
    <t>Age Bracket: 30 - 34 (US Baseline)</t>
  </si>
  <si>
    <t>📈 12-MONTH WEALTH TRAJECTORY &amp; SUMMARY</t>
  </si>
  <si>
    <t>Quarter / Milestone</t>
  </si>
  <si>
    <t>Net Worth</t>
  </si>
  <si>
    <t>Invested Assets</t>
  </si>
  <si>
    <t>Total Liabilities</t>
  </si>
  <si>
    <t>Progress Note</t>
  </si>
  <si>
    <t>Q1 (Jan 2026 Baseline)</t>
  </si>
  <si>
    <t>Starting 2026 Baseline</t>
  </si>
  <si>
    <t>Q2 (Apr 2026)</t>
  </si>
  <si>
    <t>Q1 Tax Optimization</t>
  </si>
  <si>
    <t>Q3 (Jul 2026)</t>
  </si>
  <si>
    <t>Mid-Year Portfolio Rebalance</t>
  </si>
  <si>
    <t>Q4 (Oct 2026)</t>
  </si>
  <si>
    <t>Year-End Sinking Fund Push</t>
  </si>
  <si>
    <t>Year-End Total (Dec 2026)</t>
  </si>
  <si>
    <t>Annual Target Achieved</t>
  </si>
  <si>
    <t>🔥 FINANCIAL INDEPENDENCE (FIRE) READINESS</t>
  </si>
  <si>
    <t>Lean FIRE (25x Basic Needs)</t>
  </si>
  <si>
    <t>Standard FIRE (4% Rule)</t>
  </si>
  <si>
    <t>Coast FIRE Target (Age 32)</t>
  </si>
  <si>
    <t>Estimated Freedom Date</t>
  </si>
  <si>
    <t>$1,080,000</t>
  </si>
  <si>
    <t>$1,650,000</t>
  </si>
  <si>
    <t>$185,000</t>
  </si>
  <si>
    <t>October 2038</t>
  </si>
  <si>
    <t>💸 SMART MONTHLY CASH FLOW &amp; 50/30/20 BUDGET ENGINE</t>
  </si>
  <si>
    <t>Answers: "How much can I safely spend guilt-free?" • 50% Needs, 30% Wants, 20% Wealth Surplus.</t>
  </si>
  <si>
    <t>🟢 REMAINING GUILT-FREE SPENDING BUFFER</t>
  </si>
  <si>
    <t>DAILY ALLOWANCE (30 DAYS)</t>
  </si>
  <si>
    <t>Cash Flow Stream</t>
  </si>
  <si>
    <t>Planned ($)</t>
  </si>
  <si>
    <t>Actual ($)</t>
  </si>
  <si>
    <t>Remaining ($)</t>
  </si>
  <si>
    <t>50/30/20 Benchmark</t>
  </si>
  <si>
    <t>📥 MONTHLY NET INCOME (TAKE-HOME PAY)</t>
  </si>
  <si>
    <t>Primary Salary / Take-Home</t>
  </si>
  <si>
    <t>Inflow</t>
  </si>
  <si>
    <t>Partner / Secondary Income</t>
  </si>
  <si>
    <t>Side Hustles / Dividends</t>
  </si>
  <si>
    <t>TOTAL NET INCOME</t>
  </si>
  <si>
    <t>100.0% Baseline</t>
  </si>
  <si>
    <t>🏠 ESSENTIAL NEEDS (TARGET: ≤ 50% OF INCOME)</t>
  </si>
  <si>
    <t>Mortgage / Rent Payment</t>
  </si>
  <si>
    <t>Groceries &amp; Household Essentials</t>
  </si>
  <si>
    <t>Utilities, Electricity &amp; Internet</t>
  </si>
  <si>
    <t>Healthcare &amp; Insurance Premiums</t>
  </si>
  <si>
    <t>Car Payment / Transportation / Gas</t>
  </si>
  <si>
    <t>TOTAL ESSENTIAL NEEDS</t>
  </si>
  <si>
    <t>🎉 GUILT-FREE WANTS (TARGET: ≤ 30% OF INCOME)</t>
  </si>
  <si>
    <t>Dining Out &amp; Weekend Socials</t>
  </si>
  <si>
    <t>Entertainment, Streaming &amp; Subs</t>
  </si>
  <si>
    <t>Shopping &amp; Personal Hobbies</t>
  </si>
  <si>
    <t>TOTAL GUILT-FREE WANTS</t>
  </si>
  <si>
    <t>🚀 WEALTH SURPLUS &amp; SAVINGS (TARGET: ≥ 20% OF INCOME)</t>
  </si>
  <si>
    <t>401(k) / IRA / Index Fund DCA</t>
  </si>
  <si>
    <t>Emergency Sinking Fund Transfer</t>
  </si>
  <si>
    <t>Extra Debt Acceleration Principal</t>
  </si>
  <si>
    <t>TOTAL WEALTH SURPLUS</t>
  </si>
  <si>
    <t>🎯 SINKING FUNDS &amp; IRREGULAR EXPENSE DEFENSE SHIELD</t>
  </si>
  <si>
    <t>Prevents budget shock from annual car insurance, holiday gifts, unexpected home repairs, and vacations.</t>
  </si>
  <si>
    <t>Fund Name / Category</t>
  </si>
  <si>
    <t>Target Goal</t>
  </si>
  <si>
    <t>Current Balance</t>
  </si>
  <si>
    <t>Remaining Gap</t>
  </si>
  <si>
    <t>Target Deadline</t>
  </si>
  <si>
    <t>Monthly Allocation</t>
  </si>
  <si>
    <t>Fund Health</t>
  </si>
  <si>
    <t>🛡️ 6-Month Emergency Runway</t>
  </si>
  <si>
    <t>🚗 Car Maintenance &amp; Tires</t>
  </si>
  <si>
    <t>🏖️ Annual Family Vacation</t>
  </si>
  <si>
    <t>🎁 Holiday Season &amp; Gifts</t>
  </si>
  <si>
    <t>🏠 Home Appliance &amp; Repair Pool</t>
  </si>
  <si>
    <t>TOTAL SINKING FUNDS</t>
  </si>
  <si>
    <t>Multiple</t>
  </si>
  <si>
    <t>🔥 FINANCIAL INDEPENDENCE &amp; EARLY RETIREMENT CALCULATOR (TRINITY STUDY)</t>
  </si>
  <si>
    <t>1. CORE ASSUMPTIONS &amp; SAFE WITHDRAWAL RATE (SWR)</t>
  </si>
  <si>
    <t>Current Age</t>
  </si>
  <si>
    <t>Target Annual Retirement Spending</t>
  </si>
  <si>
    <t>Safe Withdrawal Rate (Standard Trinity 4%)</t>
  </si>
  <si>
    <t>Expected Real Return After Inflation</t>
  </si>
  <si>
    <t>Current Liquid Invested Portfolio</t>
  </si>
  <si>
    <t>Monthly Investment Inflow (from Budget)</t>
  </si>
  <si>
    <t>2. THE 4 FIRE MILESTONES (LEAN, STANDARD, FAT, COAST)</t>
  </si>
  <si>
    <t>Lean FIRE (25x Bare Minimum Expenses)</t>
  </si>
  <si>
    <t>Survival baseline without luxury</t>
  </si>
  <si>
    <t>Standard FIRE (25x Current Expenses / 4%)</t>
  </si>
  <si>
    <t>Replaces 100% of current lifestyle</t>
  </si>
  <si>
    <t>Fat FIRE (Abundant Lifestyle 35x Expenses)</t>
  </si>
  <si>
    <t>Zero financial restrictions</t>
  </si>
  <si>
    <t>Coast FIRE Target for Age 32 (No Further Savings)</t>
  </si>
  <si>
    <t>Compounding does all remaining work</t>
  </si>
  <si>
    <t>💳 DEBT PAYOFF ACCELERATOR: MATHEMATICAL AVALANCHE VS BEHAVIORAL SNOWBALL</t>
  </si>
  <si>
    <t>Debt Name</t>
  </si>
  <si>
    <t>Interest APR</t>
  </si>
  <si>
    <t>Min Payment</t>
  </si>
  <si>
    <t>Avalanche Rank</t>
  </si>
  <si>
    <t>Credit Card A (High APR)</t>
  </si>
  <si>
    <t>Priority #1 (Avalanche)</t>
  </si>
  <si>
    <t>Personal Consolidation Loan</t>
  </si>
  <si>
    <t>Priority #2</t>
  </si>
  <si>
    <t>Auto Loan (Vehicle)</t>
  </si>
  <si>
    <t>Priority #3</t>
  </si>
  <si>
    <t>Primary Mortgage</t>
  </si>
  <si>
    <t>Priority #4 (Low Interest)</t>
  </si>
  <si>
    <t>TOTAL LIABILITIES</t>
  </si>
  <si>
    <t>Blended APR</t>
  </si>
  <si>
    <t>🏛️ OFFICIAL US FEDERAL RESERVE SURVEY OF CONSUMER FINANCES (SCF) BENCHMARK DATA</t>
  </si>
  <si>
    <t>Age Bracket</t>
  </si>
  <si>
    <t>25th Pct</t>
  </si>
  <si>
    <t>50th (Median)</t>
  </si>
  <si>
    <t>75th Pct</t>
  </si>
  <si>
    <t>90th Pct</t>
  </si>
  <si>
    <t>95th Pct</t>
  </si>
  <si>
    <t>Top 1% (99th)</t>
  </si>
  <si>
    <t>Under 35</t>
  </si>
  <si>
    <t>35 - 44</t>
  </si>
  <si>
    <t>45 - 54</t>
  </si>
  <si>
    <t>55 - 64</t>
  </si>
  <si>
    <t>65 - 74</t>
  </si>
  <si>
    <t>75+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</si>
</sst>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$#,##0"/>
    <numFmt numFmtId="165" formatCode="+$#,##0;-$#,##0;$0"/>
    <numFmt numFmtId="166" formatCode="+0.0%;-0.0%;0.0%"/>
    <numFmt numFmtId="167" formatCode="$#,##0/day"/>
    <numFmt numFmtId="168" formatCode="0.0%"/>
  </numFmts>
  <fonts count="24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i/>
      <color rgb="FFCBD5E1"/>
      <sz val="9"/>
      <name val="Arial"/>
    </font>
    <font>
      <b/>
      <color rgb="FFFFFFFF"/>
      <sz val="10"/>
      <name val="Arial"/>
    </font>
    <font>
      <b/>
      <sz val="10"/>
      <name val="Arial"/>
    </font>
    <font>
      <b/>
      <color rgb="FF065F46"/>
      <sz val="10"/>
      <name val="Arial"/>
    </font>
    <font>
      <b/>
      <color rgb="FFFFFFFF"/>
    </font>
    <font>
      <b/>
      <color rgb="FFFFFFFF"/>
      <sz val="13"/>
      <name val="Arial"/>
    </font>
    <font>
      <i/>
      <color rgb="FF94A3B8"/>
      <sz val="9"/>
      <name val="Arial"/>
    </font>
    <font>
      <b/>
      <color rgb="FF94A3B8"/>
      <sz val="9"/>
    </font>
    <font>
      <b/>
      <color rgb="FFFFFFFF"/>
      <sz val="18"/>
    </font>
    <font>
      <b/>
      <color rgb="FF10B981"/>
      <sz val="18"/>
    </font>
    <font>
      <b/>
      <color rgb="FFF59E0B"/>
      <sz val="18"/>
    </font>
    <font>
      <b/>
      <color rgb="FF10B981"/>
      <sz val="9"/>
    </font>
    <font>
      <color rgb="FFCBD5E1"/>
      <sz val="9"/>
    </font>
    <font>
      <b/>
      <color rgb="FFFFFFFF"/>
      <sz val="11"/>
    </font>
    <font>
      <b/>
      <color rgb="FFFFFFFF"/>
      <sz val="9"/>
    </font>
    <font>
      <b/>
      <color rgb="FF94A3B8"/>
      <sz val="8"/>
    </font>
    <font>
      <b/>
      <color rgb="FFFFFFFF"/>
      <sz val="13"/>
    </font>
    <font>
      <b/>
      <color rgb="FFFFFFFF"/>
      <sz val="15"/>
    </font>
    <font>
      <b/>
      <color rgb="FFFFFFFF"/>
      <sz val="10"/>
    </font>
    <font>
      <b/>
    </font>
    <font>
      <i/>
      <color rgb="FF64748B"/>
      <sz val="9"/>
    </font>
    <font>
      <b/>
      <color rgb="FFFFFFFF"/>
      <sz val="11"/>
      <name val="Arial"/>
    </font>
  </fonts>
  <fills count="9">
    <fill>
      <patternFill patternType="none"/>
    </fill>
    <fill>
      <patternFill patternType="gray125"/>
    </fill>
    <fill>
      <patternFill patternType="solid">
        <fgColor rgb="FF065F46"/>
      </patternFill>
    </fill>
    <fill>
      <patternFill patternType="solid">
        <fgColor rgb="FF1E293B"/>
      </patternFill>
    </fill>
    <fill>
      <patternFill patternType="solid">
        <fgColor rgb="FF0F172A"/>
      </patternFill>
    </fill>
    <fill>
      <patternFill patternType="solid">
        <fgColor rgb="FF047857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6B21A8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/>
    <xf numFmtId="164" fontId="5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/>
    <xf numFmtId="0" fontId="4" fillId="6" borderId="1" xfId="0" applyFont="1" applyFill="1" applyBorder="1" applyAlignment="1">
      <alignment horizontal="center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6" fillId="4" borderId="1" xfId="0" applyFont="1" applyFill="1" applyBorder="1"/>
    <xf numFmtId="164" fontId="6" fillId="4" borderId="1" xfId="0" applyNumberFormat="1" applyFont="1" applyFill="1" applyBorder="1"/>
    <xf numFmtId="166" fontId="6" fillId="4" borderId="1" xfId="0" applyNumberFormat="1" applyFont="1" applyFill="1" applyBorder="1"/>
    <xf numFmtId="0" fontId="7" fillId="4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/>
    <xf numFmtId="164" fontId="10" fillId="3" borderId="0" xfId="0" applyNumberFormat="1" applyFont="1" applyFill="1" applyAlignment="1">
      <alignment vertical="center"/>
    </xf>
    <xf numFmtId="164" fontId="11" fillId="3" borderId="0" xfId="0" applyNumberFormat="1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3" fillId="3" borderId="0" xfId="0" applyFont="1" applyFill="1"/>
    <xf numFmtId="0" fontId="14" fillId="3" borderId="0" xfId="0" applyFont="1" applyFill="1"/>
    <xf numFmtId="0" fontId="15" fillId="4" borderId="0" xfId="0" applyFont="1" applyFill="1"/>
    <xf numFmtId="0" fontId="16" fillId="3" borderId="1" xfId="0" applyFont="1" applyFill="1" applyBorder="1"/>
    <xf numFmtId="0" fontId="0" fillId="0" borderId="1" xfId="0" applyBorder="1"/>
    <xf numFmtId="0" fontId="0" fillId="6" borderId="1" xfId="0" applyFill="1" applyBorder="1"/>
    <xf numFmtId="0" fontId="17" fillId="3" borderId="0" xfId="0" applyFont="1" applyFill="1"/>
    <xf numFmtId="0" fontId="18" fillId="3" borderId="0" xfId="0" applyFont="1" applyFill="1"/>
    <xf numFmtId="0" fontId="1" fillId="4" borderId="0" xfId="0" applyFont="1" applyFill="1" applyAlignment="1">
      <alignment horizontal="center" vertical="center"/>
    </xf>
    <xf numFmtId="164" fontId="11" fillId="3" borderId="0" xfId="0" applyNumberFormat="1" applyFont="1" applyFill="1"/>
    <xf numFmtId="167" fontId="19" fillId="3" borderId="0" xfId="0" applyNumberFormat="1" applyFont="1" applyFill="1"/>
    <xf numFmtId="0" fontId="16" fillId="4" borderId="1" xfId="0" applyFont="1" applyFill="1" applyBorder="1"/>
    <xf numFmtId="0" fontId="20" fillId="2" borderId="0" xfId="0" applyFont="1" applyFill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0" fillId="7" borderId="0" xfId="0" applyFont="1" applyFill="1"/>
    <xf numFmtId="0" fontId="6" fillId="7" borderId="1" xfId="0" applyFont="1" applyFill="1" applyBorder="1"/>
    <xf numFmtId="164" fontId="6" fillId="7" borderId="1" xfId="0" applyNumberFormat="1" applyFont="1" applyFill="1" applyBorder="1"/>
    <xf numFmtId="0" fontId="20" fillId="8" borderId="0" xfId="0" applyFont="1" applyFill="1"/>
    <xf numFmtId="0" fontId="6" fillId="8" borderId="1" xfId="0" applyFont="1" applyFill="1" applyBorder="1"/>
    <xf numFmtId="164" fontId="6" fillId="8" borderId="1" xfId="0" applyNumberFormat="1" applyFont="1" applyFill="1" applyBorder="1"/>
    <xf numFmtId="0" fontId="6" fillId="2" borderId="1" xfId="0" applyFont="1" applyFill="1" applyBorder="1"/>
    <xf numFmtId="164" fontId="6" fillId="2" borderId="1" xfId="0" applyNumberFormat="1" applyFont="1" applyFill="1" applyBorder="1"/>
    <xf numFmtId="0" fontId="1" fillId="5" borderId="0" xfId="0" applyFont="1" applyFill="1" applyAlignment="1">
      <alignment horizontal="center" vertical="center"/>
    </xf>
    <xf numFmtId="168" fontId="0" fillId="0" borderId="1" xfId="0" applyNumberFormat="1" applyBorder="1"/>
    <xf numFmtId="168" fontId="0" fillId="6" borderId="1" xfId="0" applyNumberFormat="1" applyFill="1" applyBorder="1"/>
    <xf numFmtId="168" fontId="6" fillId="4" borderId="1" xfId="0" applyNumberFormat="1" applyFont="1" applyFill="1" applyBorder="1"/>
    <xf numFmtId="0" fontId="20" fillId="3" borderId="0" xfId="0" applyFont="1" applyFill="1"/>
    <xf numFmtId="1" fontId="21" fillId="0" borderId="1" xfId="0" applyNumberFormat="1" applyFont="1" applyBorder="1"/>
    <xf numFmtId="164" fontId="21" fillId="0" borderId="1" xfId="0" applyNumberFormat="1" applyFont="1" applyBorder="1"/>
    <xf numFmtId="168" fontId="21" fillId="0" borderId="1" xfId="0" applyNumberFormat="1" applyFont="1" applyBorder="1"/>
    <xf numFmtId="0" fontId="22" fillId="0" borderId="1" xfId="0" applyFont="1" applyBorder="1"/>
    <xf numFmtId="0" fontId="23" fillId="4" borderId="0" xfId="0" applyFont="1" applyFill="1" applyAlignment="1">
      <alignment horizontal="center" vertical="center"/>
    </xf>
    <xf numFmtId="10" fontId="0" fillId="0" borderId="1" xfId="0" applyNumberFormat="1" applyBorder="1"/>
    <xf numFmtId="10" fontId="6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8"/>
  <sheetViews>
    <sheetView workbookViewId="0"/>
  </sheetViews>
  <sheetFormatPr defaultRowHeight="15" outlineLevelRow="0" outlineLevelCol="0" x14ac:dyDescent="55"/>
  <cols>
    <col min="1" max="1" width="4" customWidth="1"/>
    <col min="2" max="2" width="16" customWidth="1"/>
    <col min="3" max="3" width="18" customWidth="1"/>
    <col min="4" max="4" width="22" customWidth="1"/>
    <col min="5" max="5" width="20" customWidth="1"/>
    <col min="6" max="6" width="18" customWidth="1"/>
    <col min="7" max="7" width="20" customWidth="1"/>
    <col min="8" max="9" width="16" customWidth="1"/>
    <col min="10" max="10" width="4" customWidth="1"/>
  </cols>
  <sheetData>
    <row r="2" ht="28" customHeight="1" spans="2:9" x14ac:dyDescent="0.25">
      <c r="B2" s="1" t="s">
        <v>0</v>
      </c>
      <c r="C2" s="1"/>
      <c r="D2" s="1"/>
      <c r="E2" s="1"/>
      <c r="F2" s="1"/>
      <c r="G2" s="1"/>
      <c r="H2" s="1"/>
      <c r="I2" s="1"/>
    </row>
    <row r="3" ht="20" customHeight="1" spans="2:9" x14ac:dyDescent="0.25">
      <c r="B3" s="2" t="s">
        <v>1</v>
      </c>
      <c r="C3" s="2"/>
      <c r="D3" s="2"/>
      <c r="E3" s="2"/>
      <c r="F3" s="2"/>
      <c r="G3" s="2"/>
      <c r="H3" s="2"/>
      <c r="I3" s="2"/>
    </row>
    <row r="5" ht="24" customHeight="1" spans="2:9" x14ac:dyDescent="0.25">
      <c r="B5" s="3" t="s">
        <v>2</v>
      </c>
      <c r="C5" s="4" t="s">
        <v>3</v>
      </c>
      <c r="D5" s="4" t="s">
        <v>4</v>
      </c>
      <c r="E5" s="4" t="s">
        <v>5</v>
      </c>
      <c r="F5" s="4" t="s">
        <v>6</v>
      </c>
      <c r="G5" s="3" t="s">
        <v>7</v>
      </c>
      <c r="H5" s="3" t="s">
        <v>8</v>
      </c>
      <c r="I5" s="3" t="s">
        <v>9</v>
      </c>
    </row>
    <row r="6" ht="20" customHeight="1" spans="2:9" x14ac:dyDescent="0.25">
      <c r="B6" s="5" t="s">
        <v>10</v>
      </c>
      <c r="C6" s="6">
        <v>25000</v>
      </c>
      <c r="D6" s="6">
        <v>185000</v>
      </c>
      <c r="E6" s="6">
        <v>350000</v>
      </c>
      <c r="F6" s="6">
        <v>245000</v>
      </c>
      <c r="G6" s="7">
        <f>=(C6+D6+E6)-F6</f>
      </c>
      <c r="H6" s="8">
        <v>0</v>
      </c>
      <c r="I6" s="9">
        <v>0</v>
      </c>
    </row>
    <row r="7" ht="20" customHeight="1" spans="2:9" x14ac:dyDescent="0.25">
      <c r="B7" s="10" t="s">
        <v>11</v>
      </c>
      <c r="C7" s="11">
        <v>26200</v>
      </c>
      <c r="D7" s="11">
        <v>189500</v>
      </c>
      <c r="E7" s="11">
        <v>350000</v>
      </c>
      <c r="F7" s="11">
        <v>243800</v>
      </c>
      <c r="G7" s="7">
        <f>=(C7+D7+E7)-F7</f>
      </c>
      <c r="H7" s="12">
        <f>=G7-G6</f>
      </c>
      <c r="I7" s="13">
        <f>=(G7-G6)/G6</f>
      </c>
    </row>
    <row r="8" ht="20" customHeight="1" spans="2:9" x14ac:dyDescent="0.25">
      <c r="B8" s="5" t="s">
        <v>12</v>
      </c>
      <c r="C8" s="6">
        <v>25800</v>
      </c>
      <c r="D8" s="6">
        <v>194200</v>
      </c>
      <c r="E8" s="6">
        <v>350000</v>
      </c>
      <c r="F8" s="6">
        <v>242600</v>
      </c>
      <c r="G8" s="7">
        <f>=(C8+D8+E8)-F8</f>
      </c>
      <c r="H8" s="8">
        <f>=G8-G7</f>
      </c>
      <c r="I8" s="9">
        <f>=(G8-G7)/G7</f>
      </c>
    </row>
    <row r="9" ht="20" customHeight="1" spans="2:9" x14ac:dyDescent="0.25">
      <c r="B9" s="10" t="s">
        <v>13</v>
      </c>
      <c r="C9" s="11">
        <v>27100</v>
      </c>
      <c r="D9" s="11">
        <v>191000</v>
      </c>
      <c r="E9" s="11">
        <v>350000</v>
      </c>
      <c r="F9" s="11">
        <v>241400</v>
      </c>
      <c r="G9" s="7">
        <f>=(C9+D9+E9)-F9</f>
      </c>
      <c r="H9" s="12">
        <f>=G9-G8</f>
      </c>
      <c r="I9" s="13">
        <f>=(G9-G8)/G8</f>
      </c>
    </row>
    <row r="10" ht="20" customHeight="1" spans="2:9" x14ac:dyDescent="0.25">
      <c r="B10" s="5" t="s">
        <v>14</v>
      </c>
      <c r="C10" s="6">
        <v>26900</v>
      </c>
      <c r="D10" s="6">
        <v>198500</v>
      </c>
      <c r="E10" s="6">
        <v>352000</v>
      </c>
      <c r="F10" s="6">
        <v>240100</v>
      </c>
      <c r="G10" s="7">
        <f>=(C10+D10+E10)-F10</f>
      </c>
      <c r="H10" s="8">
        <f>=G10-G9</f>
      </c>
      <c r="I10" s="9">
        <f>=(G10-G9)/G9</f>
      </c>
    </row>
    <row r="11" ht="20" customHeight="1" spans="2:9" x14ac:dyDescent="0.25">
      <c r="B11" s="10" t="s">
        <v>15</v>
      </c>
      <c r="C11" s="11">
        <v>28400</v>
      </c>
      <c r="D11" s="11">
        <v>204000</v>
      </c>
      <c r="E11" s="11">
        <v>352000</v>
      </c>
      <c r="F11" s="11">
        <v>238800</v>
      </c>
      <c r="G11" s="7">
        <f>=(C11+D11+E11)-F11</f>
      </c>
      <c r="H11" s="12">
        <f>=G11-G10</f>
      </c>
      <c r="I11" s="13">
        <f>=(G11-G10)/G10</f>
      </c>
    </row>
    <row r="12" ht="20" customHeight="1" spans="2:9" x14ac:dyDescent="0.25">
      <c r="B12" s="5" t="s">
        <v>16</v>
      </c>
      <c r="C12" s="6">
        <v>29000</v>
      </c>
      <c r="D12" s="6">
        <v>209500</v>
      </c>
      <c r="E12" s="6">
        <v>352000</v>
      </c>
      <c r="F12" s="6">
        <v>237500</v>
      </c>
      <c r="G12" s="7">
        <f>=(C12+D12+E12)-F12</f>
      </c>
      <c r="H12" s="8">
        <f>=G12-G11</f>
      </c>
      <c r="I12" s="9">
        <f>=(G12-G11)/G11</f>
      </c>
    </row>
    <row r="13" ht="20" customHeight="1" spans="2:9" x14ac:dyDescent="0.25">
      <c r="B13" s="10" t="s">
        <v>17</v>
      </c>
      <c r="C13" s="11">
        <v>28500</v>
      </c>
      <c r="D13" s="11">
        <v>215000</v>
      </c>
      <c r="E13" s="11">
        <v>355000</v>
      </c>
      <c r="F13" s="11">
        <v>236100</v>
      </c>
      <c r="G13" s="7">
        <f>=(C13+D13+E13)-F13</f>
      </c>
      <c r="H13" s="12">
        <f>=G13-G12</f>
      </c>
      <c r="I13" s="13">
        <f>=(G13-G12)/G12</f>
      </c>
    </row>
    <row r="14" ht="20" customHeight="1" spans="2:9" x14ac:dyDescent="0.25">
      <c r="B14" s="5" t="s">
        <v>18</v>
      </c>
      <c r="C14" s="6">
        <v>30200</v>
      </c>
      <c r="D14" s="6">
        <v>221000</v>
      </c>
      <c r="E14" s="6">
        <v>355000</v>
      </c>
      <c r="F14" s="6">
        <v>234700</v>
      </c>
      <c r="G14" s="7">
        <f>=(C14+D14+E14)-F14</f>
      </c>
      <c r="H14" s="8">
        <f>=G14-G13</f>
      </c>
      <c r="I14" s="9">
        <f>=(G14-G13)/G13</f>
      </c>
    </row>
    <row r="15" ht="20" customHeight="1" spans="2:9" x14ac:dyDescent="0.25">
      <c r="B15" s="10" t="s">
        <v>19</v>
      </c>
      <c r="C15" s="11">
        <v>31000</v>
      </c>
      <c r="D15" s="11">
        <v>228000</v>
      </c>
      <c r="E15" s="11">
        <v>355000</v>
      </c>
      <c r="F15" s="11">
        <v>233200</v>
      </c>
      <c r="G15" s="7">
        <f>=(C15+D15+E15)-F15</f>
      </c>
      <c r="H15" s="12">
        <f>=G15-G14</f>
      </c>
      <c r="I15" s="13">
        <f>=(G15-G14)/G14</f>
      </c>
    </row>
    <row r="16" ht="20" customHeight="1" spans="2:9" x14ac:dyDescent="0.25">
      <c r="B16" s="5" t="s">
        <v>20</v>
      </c>
      <c r="C16" s="6">
        <v>31500</v>
      </c>
      <c r="D16" s="6">
        <v>234500</v>
      </c>
      <c r="E16" s="6">
        <v>358000</v>
      </c>
      <c r="F16" s="6">
        <v>231700</v>
      </c>
      <c r="G16" s="7">
        <f>=(C16+D16+E16)-F16</f>
      </c>
      <c r="H16" s="8">
        <f>=G16-G15</f>
      </c>
      <c r="I16" s="9">
        <f>=(G16-G15)/G15</f>
      </c>
    </row>
    <row r="17" ht="20" customHeight="1" spans="2:9" x14ac:dyDescent="0.25">
      <c r="B17" s="10" t="s">
        <v>21</v>
      </c>
      <c r="C17" s="11">
        <v>33000</v>
      </c>
      <c r="D17" s="11">
        <v>242000</v>
      </c>
      <c r="E17" s="11">
        <v>358000</v>
      </c>
      <c r="F17" s="11">
        <v>230100</v>
      </c>
      <c r="G17" s="7">
        <f>=(C17+D17+E17)-F17</f>
      </c>
      <c r="H17" s="12">
        <f>=G17-G16</f>
      </c>
      <c r="I17" s="13">
        <f>=(G17-G16)/G16</f>
      </c>
    </row>
    <row r="18" ht="22" customHeight="1" spans="2:9" x14ac:dyDescent="0.25">
      <c r="B18" s="14" t="s">
        <v>22</v>
      </c>
      <c r="C18" s="15">
        <f>=C17</f>
      </c>
      <c r="D18" s="15">
        <f>=D17</f>
      </c>
      <c r="E18" s="15">
        <f>=E17</f>
      </c>
      <c r="F18" s="15">
        <f>=F17</f>
      </c>
      <c r="G18" s="15">
        <f>=G17</f>
      </c>
      <c r="H18" s="15">
        <f>=G17-G6</f>
      </c>
      <c r="I18" s="16">
        <f>=(G17-G6)/G6</f>
      </c>
    </row>
  </sheetData>
  <mergeCells count="2">
    <mergeCell ref="B2:I2"/>
    <mergeCell ref="B3:I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2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22" customWidth="1"/>
    <col min="7" max="7" width="4" customWidth="1"/>
  </cols>
  <sheetData>
    <row r="2" ht="30" customHeight="1" spans="2:6" x14ac:dyDescent="0.25">
      <c r="B2" s="17" t="s">
        <v>23</v>
      </c>
      <c r="C2" s="17"/>
      <c r="D2" s="17"/>
      <c r="E2" s="17"/>
      <c r="F2" s="17"/>
    </row>
    <row r="3" ht="18" customHeight="1" spans="2:6" x14ac:dyDescent="0.25">
      <c r="B3" s="18" t="s">
        <v>24</v>
      </c>
      <c r="C3" s="18"/>
      <c r="D3" s="18"/>
      <c r="E3" s="18"/>
      <c r="F3" s="18"/>
    </row>
    <row r="5" ht="18" customHeight="1" spans="2:6" x14ac:dyDescent="0.25">
      <c r="B5" s="19" t="s">
        <v>25</v>
      </c>
      <c r="C5" s="19"/>
      <c r="D5" s="19" t="s">
        <v>26</v>
      </c>
      <c r="E5" s="19"/>
      <c r="F5" s="19" t="s">
        <v>27</v>
      </c>
    </row>
    <row r="6" ht="28" customHeight="1" spans="2:6" x14ac:dyDescent="0.25">
      <c r="B6" s="20">
        <f>='⚡ 2-Min Quick Check-In'!G18</f>
      </c>
      <c r="C6" s="20"/>
      <c r="D6" s="21">
        <f>='⚡ 2-Min Quick Check-In'!C18+'⚡ 2-Min Quick Check-In'!D18</f>
      </c>
      <c r="E6" s="21"/>
      <c r="F6" s="22" t="s">
        <v>28</v>
      </c>
    </row>
    <row r="7" ht="16" customHeight="1" spans="2:6" x14ac:dyDescent="0.25">
      <c r="B7" s="23">
        <f>="▲ Annual Growth: " &amp; TEXT('⚡ 2-Min Quick Check-In'!I18, "+0.0%") &amp; " (+$" &amp; TEXT('⚡ 2-Min Quick Check-In'!H18, "#,##0") &amp; ")"</f>
      </c>
      <c r="C7" s="23"/>
      <c r="D7" s="24">
        <f>="Liquid Ratio: " &amp; TEXT(('⚡ 2-Min Quick Check-In'!C18+'⚡ 2-Min Quick Check-In'!D18)/('⚡ 2-Min Quick Check-In'!G18+'⚡ 2-Min Quick Check-In'!F18), "0.0%") &amp; " of total assets"</f>
      </c>
      <c r="E7" s="24"/>
      <c r="F7" s="24" t="s">
        <v>29</v>
      </c>
    </row>
    <row r="9" ht="24" customHeight="1" spans="2:6" x14ac:dyDescent="0.25">
      <c r="B9" s="25" t="s">
        <v>30</v>
      </c>
      <c r="C9" s="25"/>
      <c r="D9" s="25"/>
      <c r="E9" s="25"/>
      <c r="F9" s="25"/>
    </row>
    <row r="10" ht="20" customHeight="1" spans="2:6" x14ac:dyDescent="0.25">
      <c r="B10" s="26" t="s">
        <v>31</v>
      </c>
      <c r="C10" s="26" t="s">
        <v>32</v>
      </c>
      <c r="D10" s="26" t="s">
        <v>33</v>
      </c>
      <c r="E10" s="26" t="s">
        <v>34</v>
      </c>
      <c r="F10" s="26" t="s">
        <v>35</v>
      </c>
    </row>
    <row r="11" ht="20" customHeight="1" spans="2:6" x14ac:dyDescent="0.25">
      <c r="B11" s="27" t="s">
        <v>36</v>
      </c>
      <c r="C11" s="6">
        <f>='⚡ 2-Min Quick Check-In'!G6</f>
      </c>
      <c r="D11" s="6">
        <f>='⚡ 2-Min Quick Check-In'!D6</f>
      </c>
      <c r="E11" s="6">
        <f>='⚡ 2-Min Quick Check-In'!F6</f>
      </c>
      <c r="F11" s="27" t="s">
        <v>37</v>
      </c>
    </row>
    <row r="12" ht="20" customHeight="1" spans="2:6" x14ac:dyDescent="0.25">
      <c r="B12" s="28" t="s">
        <v>38</v>
      </c>
      <c r="C12" s="11">
        <f>='⚡ 2-Min Quick Check-In'!G9</f>
      </c>
      <c r="D12" s="11">
        <f>='⚡ 2-Min Quick Check-In'!D9</f>
      </c>
      <c r="E12" s="11">
        <f>='⚡ 2-Min Quick Check-In'!F9</f>
      </c>
      <c r="F12" s="28" t="s">
        <v>39</v>
      </c>
    </row>
    <row r="13" ht="20" customHeight="1" spans="2:6" x14ac:dyDescent="0.25">
      <c r="B13" s="27" t="s">
        <v>40</v>
      </c>
      <c r="C13" s="6">
        <f>='⚡ 2-Min Quick Check-In'!G12</f>
      </c>
      <c r="D13" s="6">
        <f>='⚡ 2-Min Quick Check-In'!D12</f>
      </c>
      <c r="E13" s="6">
        <f>='⚡ 2-Min Quick Check-In'!F12</f>
      </c>
      <c r="F13" s="27" t="s">
        <v>41</v>
      </c>
    </row>
    <row r="14" ht="20" customHeight="1" spans="2:6" x14ac:dyDescent="0.25">
      <c r="B14" s="28" t="s">
        <v>42</v>
      </c>
      <c r="C14" s="11">
        <f>='⚡ 2-Min Quick Check-In'!G15</f>
      </c>
      <c r="D14" s="11">
        <f>='⚡ 2-Min Quick Check-In'!D15</f>
      </c>
      <c r="E14" s="11">
        <f>='⚡ 2-Min Quick Check-In'!F15</f>
      </c>
      <c r="F14" s="28" t="s">
        <v>43</v>
      </c>
    </row>
    <row r="15" ht="20" customHeight="1" spans="2:6" x14ac:dyDescent="0.25">
      <c r="B15" s="27" t="s">
        <v>44</v>
      </c>
      <c r="C15" s="6">
        <f>='⚡ 2-Min Quick Check-In'!G17</f>
      </c>
      <c r="D15" s="6">
        <f>='⚡ 2-Min Quick Check-In'!D17</f>
      </c>
      <c r="E15" s="6">
        <f>='⚡ 2-Min Quick Check-In'!F17</f>
      </c>
      <c r="F15" s="27" t="s">
        <v>45</v>
      </c>
    </row>
    <row r="18" ht="24" customHeight="1" spans="2:6" x14ac:dyDescent="0.25">
      <c r="B18" s="25" t="s">
        <v>46</v>
      </c>
      <c r="C18" s="25"/>
      <c r="D18" s="25"/>
      <c r="E18" s="25"/>
      <c r="F18" s="25"/>
    </row>
    <row r="19" ht="20" customHeight="1" spans="2:6" x14ac:dyDescent="0.25">
      <c r="B19" s="29" t="s">
        <v>47</v>
      </c>
      <c r="C19" s="29" t="s">
        <v>48</v>
      </c>
      <c r="D19" s="29" t="s">
        <v>49</v>
      </c>
      <c r="E19" s="29" t="s">
        <v>50</v>
      </c>
      <c r="F19" s="29"/>
    </row>
    <row r="20" ht="24" customHeight="1" spans="2:6" x14ac:dyDescent="0.25">
      <c r="B20" s="30" t="s">
        <v>51</v>
      </c>
      <c r="C20" s="30" t="s">
        <v>52</v>
      </c>
      <c r="D20" s="30" t="s">
        <v>53</v>
      </c>
      <c r="E20" s="30" t="s">
        <v>54</v>
      </c>
      <c r="F20" s="30"/>
    </row>
  </sheetData>
  <mergeCells count="12">
    <mergeCell ref="B2:F2"/>
    <mergeCell ref="B3:F3"/>
    <mergeCell ref="B5:C5"/>
    <mergeCell ref="D5:E5"/>
    <mergeCell ref="B6:C6"/>
    <mergeCell ref="D6:E6"/>
    <mergeCell ref="B7:C7"/>
    <mergeCell ref="D7:E7"/>
    <mergeCell ref="B9:F9"/>
    <mergeCell ref="B18:F18"/>
    <mergeCell ref="E19:F19"/>
    <mergeCell ref="E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0"/>
  <sheetViews>
    <sheetView workbookViewId="0"/>
  </sheetViews>
  <sheetFormatPr defaultRowHeight="15" outlineLevelRow="0" outlineLevelCol="0" x14ac:dyDescent="55"/>
  <cols>
    <col min="1" max="1" width="4" customWidth="1"/>
    <col min="2" max="2" width="28" customWidth="1"/>
    <col min="3" max="4" width="18" customWidth="1"/>
    <col min="5" max="5" width="16" customWidth="1"/>
    <col min="6" max="6" width="22" customWidth="1"/>
    <col min="7" max="7" width="4" customWidth="1"/>
  </cols>
  <sheetData>
    <row r="2" ht="28" customHeight="1" spans="2:6" x14ac:dyDescent="0.25">
      <c r="B2" s="31" t="s">
        <v>55</v>
      </c>
      <c r="C2" s="31"/>
      <c r="D2" s="31"/>
      <c r="E2" s="31"/>
      <c r="F2" s="31"/>
    </row>
    <row r="3" ht="18" customHeight="1" spans="2:6" x14ac:dyDescent="0.25">
      <c r="B3" s="18" t="s">
        <v>56</v>
      </c>
      <c r="C3" s="18"/>
      <c r="D3" s="18"/>
      <c r="E3" s="18"/>
      <c r="F3" s="18"/>
    </row>
    <row r="5" spans="2:6" x14ac:dyDescent="0.25">
      <c r="B5" s="23" t="s">
        <v>57</v>
      </c>
      <c r="C5" s="23"/>
      <c r="D5" s="23"/>
      <c r="E5" s="19" t="s">
        <v>58</v>
      </c>
      <c r="F5" s="19"/>
    </row>
    <row r="6" spans="2:6" x14ac:dyDescent="0.25">
      <c r="B6" s="32">
        <f>=E24</f>
      </c>
      <c r="C6" s="32"/>
      <c r="D6" s="32"/>
      <c r="E6" s="33">
        <f>=E24/30</f>
      </c>
      <c r="F6" s="33"/>
    </row>
    <row r="8" ht="22" customHeight="1" spans="2:6" x14ac:dyDescent="0.25">
      <c r="B8" s="34" t="s">
        <v>59</v>
      </c>
      <c r="C8" s="34" t="s">
        <v>60</v>
      </c>
      <c r="D8" s="34" t="s">
        <v>61</v>
      </c>
      <c r="E8" s="34" t="s">
        <v>62</v>
      </c>
      <c r="F8" s="34" t="s">
        <v>63</v>
      </c>
    </row>
    <row r="9" ht="20" customHeight="1" spans="2:6" x14ac:dyDescent="0.25">
      <c r="B9" s="35" t="s">
        <v>64</v>
      </c>
      <c r="C9" s="35"/>
      <c r="D9" s="35"/>
      <c r="E9" s="35"/>
      <c r="F9" s="35"/>
    </row>
    <row r="10" ht="19" customHeight="1" spans="2:6" x14ac:dyDescent="0.25">
      <c r="B10" s="27" t="s">
        <v>65</v>
      </c>
      <c r="C10" s="6">
        <v>6800</v>
      </c>
      <c r="D10" s="6">
        <v>6800</v>
      </c>
      <c r="E10" s="6">
        <f>=D10-C10</f>
      </c>
      <c r="F10" s="27" t="s">
        <v>66</v>
      </c>
    </row>
    <row r="11" ht="19" customHeight="1" spans="2:6" x14ac:dyDescent="0.25">
      <c r="B11" s="27" t="s">
        <v>67</v>
      </c>
      <c r="C11" s="6">
        <v>2200</v>
      </c>
      <c r="D11" s="6">
        <v>2200</v>
      </c>
      <c r="E11" s="6">
        <f>=D11-C11</f>
      </c>
      <c r="F11" s="27" t="s">
        <v>66</v>
      </c>
    </row>
    <row r="12" ht="19" customHeight="1" spans="2:6" x14ac:dyDescent="0.25">
      <c r="B12" s="27" t="s">
        <v>68</v>
      </c>
      <c r="C12" s="6">
        <v>500</v>
      </c>
      <c r="D12" s="6">
        <v>650</v>
      </c>
      <c r="E12" s="6">
        <f>=D12-C12</f>
      </c>
      <c r="F12" s="27" t="s">
        <v>66</v>
      </c>
    </row>
    <row r="13" ht="20" customHeight="1" spans="2:6" x14ac:dyDescent="0.25">
      <c r="B13" s="36" t="s">
        <v>69</v>
      </c>
      <c r="C13" s="37">
        <f>=SUM(C10:C12)</f>
      </c>
      <c r="D13" s="37">
        <f>=SUM(D10:D12)</f>
      </c>
      <c r="E13" s="37">
        <f>=D13-C13</f>
      </c>
      <c r="F13" s="36" t="s">
        <v>70</v>
      </c>
    </row>
    <row r="14" ht="20" customHeight="1" spans="2:6" x14ac:dyDescent="0.25">
      <c r="B14" s="38" t="s">
        <v>71</v>
      </c>
      <c r="C14" s="38"/>
      <c r="D14" s="38"/>
      <c r="E14" s="38"/>
      <c r="F14" s="38"/>
    </row>
    <row r="15" ht="19" customHeight="1" spans="2:6" x14ac:dyDescent="0.25">
      <c r="B15" s="27" t="s">
        <v>72</v>
      </c>
      <c r="C15" s="6">
        <v>2400</v>
      </c>
      <c r="D15" s="6">
        <v>2400</v>
      </c>
      <c r="E15" s="6">
        <f>=C15-D15</f>
      </c>
      <c r="F15" s="27">
        <f>=TEXT(D15/$D$13, "0.0%")</f>
      </c>
    </row>
    <row r="16" ht="19" customHeight="1" spans="2:6" x14ac:dyDescent="0.25">
      <c r="B16" s="27" t="s">
        <v>73</v>
      </c>
      <c r="C16" s="6">
        <v>750</v>
      </c>
      <c r="D16" s="6">
        <v>820</v>
      </c>
      <c r="E16" s="6">
        <f>=C16-D16</f>
      </c>
      <c r="F16" s="27">
        <f>=TEXT(D16/$D$13, "0.0%")</f>
      </c>
    </row>
    <row r="17" ht="19" customHeight="1" spans="2:6" x14ac:dyDescent="0.25">
      <c r="B17" s="27" t="s">
        <v>74</v>
      </c>
      <c r="C17" s="6">
        <v>320</v>
      </c>
      <c r="D17" s="6">
        <v>310</v>
      </c>
      <c r="E17" s="6">
        <f>=C17-D17</f>
      </c>
      <c r="F17" s="27">
        <f>=TEXT(D17/$D$13, "0.0%")</f>
      </c>
    </row>
    <row r="18" ht="19" customHeight="1" spans="2:6" x14ac:dyDescent="0.25">
      <c r="B18" s="27" t="s">
        <v>75</v>
      </c>
      <c r="C18" s="6">
        <v>450</v>
      </c>
      <c r="D18" s="6">
        <v>450</v>
      </c>
      <c r="E18" s="6">
        <f>=C18-D18</f>
      </c>
      <c r="F18" s="27">
        <f>=TEXT(D18/$D$13, "0.0%")</f>
      </c>
    </row>
    <row r="19" ht="19" customHeight="1" spans="2:6" x14ac:dyDescent="0.25">
      <c r="B19" s="27" t="s">
        <v>76</v>
      </c>
      <c r="C19" s="6">
        <v>400</v>
      </c>
      <c r="D19" s="6">
        <v>380</v>
      </c>
      <c r="E19" s="6">
        <f>=C19-D19</f>
      </c>
      <c r="F19" s="27">
        <f>=TEXT(D19/$D$13, "0.0%")</f>
      </c>
    </row>
    <row r="20" ht="20" customHeight="1" spans="2:6" x14ac:dyDescent="0.25">
      <c r="B20" s="39" t="s">
        <v>77</v>
      </c>
      <c r="C20" s="40">
        <f>=SUM(C15:C19)</f>
      </c>
      <c r="D20" s="40">
        <f>=SUM(D15:D19)</f>
      </c>
      <c r="E20" s="40">
        <f>=C20-D20</f>
      </c>
      <c r="F20" s="39">
        <f>="Actual: " &amp; TEXT(D20/D13, "0.0%") &amp; " (Target: ≤50%)"</f>
      </c>
    </row>
    <row r="21" ht="20" customHeight="1" spans="2:6" x14ac:dyDescent="0.25">
      <c r="B21" s="41" t="s">
        <v>78</v>
      </c>
      <c r="C21" s="41"/>
      <c r="D21" s="41"/>
      <c r="E21" s="41"/>
      <c r="F21" s="41"/>
    </row>
    <row r="22" ht="19" customHeight="1" spans="2:6" x14ac:dyDescent="0.25">
      <c r="B22" s="27" t="s">
        <v>79</v>
      </c>
      <c r="C22" s="6">
        <v>650</v>
      </c>
      <c r="D22" s="6">
        <v>520</v>
      </c>
      <c r="E22" s="6">
        <f>=C22-D22</f>
      </c>
      <c r="F22" s="27">
        <f>=TEXT(D22/$D$13, "0.0%")</f>
      </c>
    </row>
    <row r="23" ht="19" customHeight="1" spans="2:6" x14ac:dyDescent="0.25">
      <c r="B23" s="27" t="s">
        <v>80</v>
      </c>
      <c r="C23" s="6">
        <v>120</v>
      </c>
      <c r="D23" s="6">
        <v>115</v>
      </c>
      <c r="E23" s="6">
        <f>=C23-D23</f>
      </c>
      <c r="F23" s="27">
        <f>=TEXT(D23/$D$13, "0.0%")</f>
      </c>
    </row>
    <row r="24" ht="19" customHeight="1" spans="2:6" x14ac:dyDescent="0.25">
      <c r="B24" s="27" t="s">
        <v>81</v>
      </c>
      <c r="C24" s="6">
        <v>450</v>
      </c>
      <c r="D24" s="6">
        <v>380</v>
      </c>
      <c r="E24" s="6">
        <f>=C24-D24</f>
      </c>
      <c r="F24" s="27">
        <f>=TEXT(D24/$D$13, "0.0%")</f>
      </c>
    </row>
    <row r="25" ht="20" customHeight="1" spans="2:6" x14ac:dyDescent="0.25">
      <c r="B25" s="42" t="s">
        <v>82</v>
      </c>
      <c r="C25" s="43">
        <f>=SUM(C22:C24)</f>
      </c>
      <c r="D25" s="43">
        <f>=SUM(D22:D24)</f>
      </c>
      <c r="E25" s="43">
        <f>=C25-D25</f>
      </c>
      <c r="F25" s="42">
        <f>="Actual: " &amp; TEXT(D25/D13, "0.0%") &amp; " (Target: ≤30%)"</f>
      </c>
    </row>
    <row r="26" ht="20" customHeight="1" spans="2:6" x14ac:dyDescent="0.25">
      <c r="B26" s="35" t="s">
        <v>83</v>
      </c>
      <c r="C26" s="35"/>
      <c r="D26" s="35"/>
      <c r="E26" s="35"/>
      <c r="F26" s="35"/>
    </row>
    <row r="27" ht="19" customHeight="1" spans="2:6" x14ac:dyDescent="0.25">
      <c r="B27" s="27" t="s">
        <v>84</v>
      </c>
      <c r="C27" s="6">
        <v>2200</v>
      </c>
      <c r="D27" s="6">
        <v>2200</v>
      </c>
      <c r="E27" s="6">
        <f>=D27-C27</f>
      </c>
      <c r="F27" s="27">
        <f>=TEXT(D27/$D$13, "0.0%")</f>
      </c>
    </row>
    <row r="28" ht="19" customHeight="1" spans="2:6" x14ac:dyDescent="0.25">
      <c r="B28" s="27" t="s">
        <v>85</v>
      </c>
      <c r="C28" s="6">
        <v>500</v>
      </c>
      <c r="D28" s="6">
        <v>500</v>
      </c>
      <c r="E28" s="6">
        <f>=D28-C28</f>
      </c>
      <c r="F28" s="27">
        <f>=TEXT(D28/$D$13, "0.0%")</f>
      </c>
    </row>
    <row r="29" ht="19" customHeight="1" spans="2:6" x14ac:dyDescent="0.25">
      <c r="B29" s="27" t="s">
        <v>86</v>
      </c>
      <c r="C29" s="6">
        <v>600</v>
      </c>
      <c r="D29" s="6">
        <v>750</v>
      </c>
      <c r="E29" s="6">
        <f>=D29-C29</f>
      </c>
      <c r="F29" s="27">
        <f>=TEXT(D29/$D$13, "0.0%")</f>
      </c>
    </row>
    <row r="30" ht="20" customHeight="1" spans="2:6" x14ac:dyDescent="0.25">
      <c r="B30" s="44" t="s">
        <v>87</v>
      </c>
      <c r="C30" s="45">
        <f>=SUM(C27:C29)</f>
      </c>
      <c r="D30" s="45">
        <f>=SUM(D27:D29)</f>
      </c>
      <c r="E30" s="45">
        <f>=D30-C30</f>
      </c>
      <c r="F30" s="44">
        <f>="Savings Rate: " &amp; TEXT(D30/D13, "0.0%") &amp; " (FIRE Speed)"</f>
      </c>
    </row>
  </sheetData>
  <mergeCells count="10">
    <mergeCell ref="B2:F2"/>
    <mergeCell ref="B3:F3"/>
    <mergeCell ref="B5:D5"/>
    <mergeCell ref="E5:F5"/>
    <mergeCell ref="B6:D6"/>
    <mergeCell ref="E6:F6"/>
    <mergeCell ref="B9:F9"/>
    <mergeCell ref="B14:F14"/>
    <mergeCell ref="B21:F21"/>
    <mergeCell ref="B26:F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1"/>
  <sheetViews>
    <sheetView workbookViewId="0"/>
  </sheetViews>
  <sheetFormatPr defaultRowHeight="15" outlineLevelRow="0" outlineLevelCol="0" x14ac:dyDescent="55"/>
  <cols>
    <col min="1" max="1" width="4" customWidth="1"/>
    <col min="2" max="2" width="26" customWidth="1"/>
    <col min="3" max="6" width="16" customWidth="1"/>
    <col min="7" max="7" width="18" customWidth="1"/>
    <col min="8" max="8" width="14" customWidth="1"/>
  </cols>
  <sheetData>
    <row r="2" ht="28" customHeight="1" spans="2:8" x14ac:dyDescent="0.25">
      <c r="B2" s="46" t="s">
        <v>88</v>
      </c>
      <c r="C2" s="46"/>
      <c r="D2" s="46"/>
      <c r="E2" s="46"/>
      <c r="F2" s="46"/>
      <c r="G2" s="46"/>
      <c r="H2" s="46"/>
    </row>
    <row r="3" ht="18" customHeight="1" spans="2:8" x14ac:dyDescent="0.25">
      <c r="B3" s="2" t="s">
        <v>89</v>
      </c>
      <c r="C3" s="2"/>
      <c r="D3" s="2"/>
      <c r="E3" s="2"/>
      <c r="F3" s="2"/>
      <c r="G3" s="2"/>
      <c r="H3" s="2"/>
    </row>
    <row r="5" ht="22" customHeight="1" spans="2:8" x14ac:dyDescent="0.25">
      <c r="B5" s="34" t="s">
        <v>90</v>
      </c>
      <c r="C5" s="34" t="s">
        <v>91</v>
      </c>
      <c r="D5" s="34" t="s">
        <v>92</v>
      </c>
      <c r="E5" s="34" t="s">
        <v>93</v>
      </c>
      <c r="F5" s="34" t="s">
        <v>94</v>
      </c>
      <c r="G5" s="34" t="s">
        <v>95</v>
      </c>
      <c r="H5" s="34" t="s">
        <v>96</v>
      </c>
    </row>
    <row r="6" ht="20" customHeight="1" spans="2:8" x14ac:dyDescent="0.25">
      <c r="B6" s="27" t="s">
        <v>97</v>
      </c>
      <c r="C6" s="6">
        <v>25000</v>
      </c>
      <c r="D6" s="6">
        <v>21500</v>
      </c>
      <c r="E6" s="6">
        <f>=C6-D6</f>
      </c>
      <c r="F6" s="27" t="s">
        <v>15</v>
      </c>
      <c r="G6" s="6">
        <v>700</v>
      </c>
      <c r="H6" s="47">
        <f>=D6/C6</f>
      </c>
    </row>
    <row r="7" ht="20" customHeight="1" spans="2:8" x14ac:dyDescent="0.25">
      <c r="B7" s="28" t="s">
        <v>98</v>
      </c>
      <c r="C7" s="11">
        <v>2000</v>
      </c>
      <c r="D7" s="11">
        <v>1400</v>
      </c>
      <c r="E7" s="11">
        <f>=C7-D7</f>
      </c>
      <c r="F7" s="28" t="s">
        <v>17</v>
      </c>
      <c r="G7" s="11">
        <v>150</v>
      </c>
      <c r="H7" s="48">
        <f>=D7/C7</f>
      </c>
    </row>
    <row r="8" ht="20" customHeight="1" spans="2:8" x14ac:dyDescent="0.25">
      <c r="B8" s="27" t="s">
        <v>99</v>
      </c>
      <c r="C8" s="6">
        <v>4500</v>
      </c>
      <c r="D8" s="6">
        <v>2800</v>
      </c>
      <c r="E8" s="6">
        <f>=C8-D8</f>
      </c>
      <c r="F8" s="27" t="s">
        <v>21</v>
      </c>
      <c r="G8" s="6">
        <v>250</v>
      </c>
      <c r="H8" s="47">
        <f>=D8/C8</f>
      </c>
    </row>
    <row r="9" ht="20" customHeight="1" spans="2:8" x14ac:dyDescent="0.25">
      <c r="B9" s="28" t="s">
        <v>100</v>
      </c>
      <c r="C9" s="11">
        <v>1500</v>
      </c>
      <c r="D9" s="11">
        <v>750</v>
      </c>
      <c r="E9" s="11">
        <f>=C9-D9</f>
      </c>
      <c r="F9" s="28" t="s">
        <v>20</v>
      </c>
      <c r="G9" s="11">
        <v>125</v>
      </c>
      <c r="H9" s="48">
        <f>=D9/C9</f>
      </c>
    </row>
    <row r="10" ht="20" customHeight="1" spans="2:8" x14ac:dyDescent="0.25">
      <c r="B10" s="27" t="s">
        <v>101</v>
      </c>
      <c r="C10" s="6">
        <v>3500</v>
      </c>
      <c r="D10" s="6">
        <v>1800</v>
      </c>
      <c r="E10" s="6">
        <f>=C10-D10</f>
      </c>
      <c r="F10" s="27" t="s">
        <v>19</v>
      </c>
      <c r="G10" s="6">
        <v>250</v>
      </c>
      <c r="H10" s="47">
        <f>=D10/C10</f>
      </c>
    </row>
    <row r="11" ht="22" customHeight="1" spans="2:8" x14ac:dyDescent="0.25">
      <c r="B11" s="14" t="s">
        <v>102</v>
      </c>
      <c r="C11" s="15">
        <f>=SUM(C6:C10)</f>
      </c>
      <c r="D11" s="15">
        <f>=SUM(D6:D10)</f>
      </c>
      <c r="E11" s="15">
        <f>=SUM(E6:E10)</f>
      </c>
      <c r="F11" s="14" t="s">
        <v>103</v>
      </c>
      <c r="G11" s="15">
        <f>=SUM(G6:G10)</f>
      </c>
      <c r="H11" s="49">
        <f>=D11/C11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6"/>
  <sheetViews>
    <sheetView workbookViewId="0"/>
  </sheetViews>
  <sheetFormatPr defaultRowHeight="15" outlineLevelRow="0" outlineLevelCol="0" x14ac:dyDescent="55"/>
  <cols>
    <col min="1" max="1" width="4" customWidth="1"/>
    <col min="2" max="2" width="30" customWidth="1"/>
    <col min="3" max="3" width="18" customWidth="1"/>
    <col min="4" max="4" width="22" customWidth="1"/>
    <col min="5" max="5" width="20" customWidth="1"/>
    <col min="6" max="6" width="4" customWidth="1"/>
  </cols>
  <sheetData>
    <row r="2" ht="28" customHeight="1" spans="2:5" x14ac:dyDescent="0.25">
      <c r="B2" s="31" t="s">
        <v>104</v>
      </c>
      <c r="C2" s="31"/>
      <c r="D2" s="31"/>
      <c r="E2" s="31"/>
    </row>
    <row r="4" spans="2:5" x14ac:dyDescent="0.25">
      <c r="B4" s="50" t="s">
        <v>105</v>
      </c>
      <c r="C4" s="50"/>
      <c r="D4" s="50"/>
      <c r="E4" s="50"/>
    </row>
    <row r="5" ht="19" customHeight="1" spans="2:3" x14ac:dyDescent="0.25">
      <c r="B5" s="27" t="s">
        <v>106</v>
      </c>
      <c r="C5" s="51">
        <v>32</v>
      </c>
    </row>
    <row r="6" ht="19" customHeight="1" spans="2:3" x14ac:dyDescent="0.25">
      <c r="B6" s="27" t="s">
        <v>107</v>
      </c>
      <c r="C6" s="52">
        <v>66000</v>
      </c>
    </row>
    <row r="7" ht="19" customHeight="1" spans="2:3" x14ac:dyDescent="0.25">
      <c r="B7" s="27" t="s">
        <v>108</v>
      </c>
      <c r="C7" s="53">
        <v>0.04</v>
      </c>
    </row>
    <row r="8" ht="19" customHeight="1" spans="2:3" x14ac:dyDescent="0.25">
      <c r="B8" s="27" t="s">
        <v>109</v>
      </c>
      <c r="C8" s="53">
        <v>0.07</v>
      </c>
    </row>
    <row r="9" ht="19" customHeight="1" spans="2:3" x14ac:dyDescent="0.25">
      <c r="B9" s="27" t="s">
        <v>110</v>
      </c>
      <c r="C9" s="52">
        <f>'⚡ 2-Min Quick Check-In'!D18</f>
      </c>
    </row>
    <row r="10" ht="19" customHeight="1" spans="2:3" x14ac:dyDescent="0.25">
      <c r="B10" s="27" t="s">
        <v>111</v>
      </c>
      <c r="C10" s="52">
        <f>'💸 Smart Budget (50-30-20)'!D27</f>
      </c>
    </row>
    <row r="12" spans="2:5" x14ac:dyDescent="0.25">
      <c r="B12" s="35" t="s">
        <v>112</v>
      </c>
      <c r="C12" s="35"/>
      <c r="D12" s="35"/>
      <c r="E12" s="35"/>
    </row>
    <row r="13" ht="20" customHeight="1" spans="2:4" x14ac:dyDescent="0.25">
      <c r="B13" s="27" t="s">
        <v>113</v>
      </c>
      <c r="C13" s="52">
        <f>C6*0.65/C7</f>
      </c>
      <c r="D13" s="54" t="s">
        <v>114</v>
      </c>
    </row>
    <row r="14" ht="20" customHeight="1" spans="2:4" x14ac:dyDescent="0.25">
      <c r="B14" s="27" t="s">
        <v>115</v>
      </c>
      <c r="C14" s="52">
        <f>C6/C7</f>
      </c>
      <c r="D14" s="54" t="s">
        <v>116</v>
      </c>
    </row>
    <row r="15" ht="20" customHeight="1" spans="2:4" x14ac:dyDescent="0.25">
      <c r="B15" s="27" t="s">
        <v>117</v>
      </c>
      <c r="C15" s="52">
        <f>C6*1.4/C7</f>
      </c>
      <c r="D15" s="54" t="s">
        <v>118</v>
      </c>
    </row>
    <row r="16" ht="20" customHeight="1" spans="2:4" x14ac:dyDescent="0.25">
      <c r="B16" s="27" t="s">
        <v>119</v>
      </c>
      <c r="C16" s="52">
        <f>(C6/C7)/(1+C8)^(60-C5)</f>
      </c>
      <c r="D16" s="54" t="s">
        <v>120</v>
      </c>
    </row>
  </sheetData>
  <mergeCells count="3">
    <mergeCell ref="B2:E2"/>
    <mergeCell ref="B4:E4"/>
    <mergeCell ref="B12:E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9"/>
  <sheetViews>
    <sheetView workbookViewId="0"/>
  </sheetViews>
  <sheetFormatPr defaultRowHeight="15" outlineLevelRow="0" outlineLevelCol="0" x14ac:dyDescent="55"/>
  <cols>
    <col min="1" max="1" width="4" customWidth="1"/>
    <col min="2" max="2" width="24" customWidth="1"/>
    <col min="3" max="3" width="16" customWidth="1"/>
    <col min="4" max="4" width="14" customWidth="1"/>
    <col min="5" max="5" width="16" customWidth="1"/>
    <col min="6" max="6" width="18" customWidth="1"/>
    <col min="7" max="7" width="4" customWidth="1"/>
  </cols>
  <sheetData>
    <row r="2" ht="28" customHeight="1" spans="2:6" x14ac:dyDescent="0.25">
      <c r="B2" s="55" t="s">
        <v>121</v>
      </c>
      <c r="C2" s="55"/>
      <c r="D2" s="55"/>
      <c r="E2" s="55"/>
      <c r="F2" s="55"/>
    </row>
    <row r="4" ht="20" customHeight="1" spans="2:6" x14ac:dyDescent="0.25">
      <c r="B4" s="26" t="s">
        <v>122</v>
      </c>
      <c r="C4" s="26" t="s">
        <v>92</v>
      </c>
      <c r="D4" s="26" t="s">
        <v>123</v>
      </c>
      <c r="E4" s="26" t="s">
        <v>124</v>
      </c>
      <c r="F4" s="26" t="s">
        <v>125</v>
      </c>
    </row>
    <row r="5" ht="19" customHeight="1" spans="2:6" x14ac:dyDescent="0.25">
      <c r="B5" s="27" t="s">
        <v>126</v>
      </c>
      <c r="C5" s="6">
        <v>4200</v>
      </c>
      <c r="D5" s="56">
        <v>0.2499</v>
      </c>
      <c r="E5" s="6">
        <v>140</v>
      </c>
      <c r="F5" s="27" t="s">
        <v>127</v>
      </c>
    </row>
    <row r="6" ht="19" customHeight="1" spans="2:6" x14ac:dyDescent="0.25">
      <c r="B6" s="27" t="s">
        <v>128</v>
      </c>
      <c r="C6" s="6">
        <v>8500</v>
      </c>
      <c r="D6" s="56">
        <v>0.115</v>
      </c>
      <c r="E6" s="6">
        <v>210</v>
      </c>
      <c r="F6" s="27" t="s">
        <v>129</v>
      </c>
    </row>
    <row r="7" ht="19" customHeight="1" spans="2:6" x14ac:dyDescent="0.25">
      <c r="B7" s="27" t="s">
        <v>130</v>
      </c>
      <c r="C7" s="6">
        <v>17400</v>
      </c>
      <c r="D7" s="56">
        <v>0.059</v>
      </c>
      <c r="E7" s="6">
        <v>380</v>
      </c>
      <c r="F7" s="27" t="s">
        <v>131</v>
      </c>
    </row>
    <row r="8" ht="19" customHeight="1" spans="2:6" x14ac:dyDescent="0.25">
      <c r="B8" s="27" t="s">
        <v>132</v>
      </c>
      <c r="C8" s="6">
        <v>200000</v>
      </c>
      <c r="D8" s="56">
        <v>0.035</v>
      </c>
      <c r="E8" s="6">
        <v>1670</v>
      </c>
      <c r="F8" s="27" t="s">
        <v>133</v>
      </c>
    </row>
    <row r="9" ht="20" customHeight="1" spans="2:6" x14ac:dyDescent="0.25">
      <c r="B9" s="36" t="s">
        <v>134</v>
      </c>
      <c r="C9" s="37">
        <f>=SUM(C5:C8)</f>
      </c>
      <c r="D9" s="57">
        <f>=AVERAGE(D5:D8)</f>
      </c>
      <c r="E9" s="37">
        <f>=SUM(E5:E8)</f>
      </c>
      <c r="F9" s="36" t="s">
        <v>135</v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0"/>
  <sheetViews>
    <sheetView workbookViewId="0"/>
  </sheetViews>
  <sheetFormatPr defaultRowHeight="15" outlineLevelRow="0" outlineLevelCol="0" x14ac:dyDescent="55"/>
  <cols>
    <col min="1" max="1" width="4" customWidth="1"/>
    <col min="2" max="2" width="18" customWidth="1"/>
    <col min="3" max="8" width="14" customWidth="1"/>
    <col min="9" max="9" width="4" customWidth="1"/>
  </cols>
  <sheetData>
    <row r="2" ht="28" customHeight="1" spans="2:8" x14ac:dyDescent="0.25">
      <c r="B2" s="55" t="s">
        <v>136</v>
      </c>
      <c r="C2" s="55"/>
      <c r="D2" s="55"/>
      <c r="E2" s="55"/>
      <c r="F2" s="55"/>
      <c r="G2" s="55"/>
      <c r="H2" s="55"/>
    </row>
    <row r="4" ht="20" customHeight="1" spans="2:8" x14ac:dyDescent="0.25">
      <c r="B4" s="26" t="s">
        <v>137</v>
      </c>
      <c r="C4" s="26" t="s">
        <v>138</v>
      </c>
      <c r="D4" s="26" t="s">
        <v>139</v>
      </c>
      <c r="E4" s="26" t="s">
        <v>140</v>
      </c>
      <c r="F4" s="26" t="s">
        <v>141</v>
      </c>
      <c r="G4" s="26" t="s">
        <v>142</v>
      </c>
      <c r="H4" s="26" t="s">
        <v>143</v>
      </c>
    </row>
    <row r="5" ht="19" customHeight="1" spans="2:8" x14ac:dyDescent="0.25">
      <c r="B5" s="27" t="s">
        <v>144</v>
      </c>
      <c r="C5" s="6">
        <v>4800</v>
      </c>
      <c r="D5" s="6">
        <v>39000</v>
      </c>
      <c r="E5" s="6">
        <v>145000</v>
      </c>
      <c r="F5" s="6">
        <v>380000</v>
      </c>
      <c r="G5" s="6">
        <v>750000</v>
      </c>
      <c r="H5" s="6">
        <v>2800000</v>
      </c>
    </row>
    <row r="6" ht="19" customHeight="1" spans="2:8" x14ac:dyDescent="0.25">
      <c r="B6" s="28" t="s">
        <v>145</v>
      </c>
      <c r="C6" s="11">
        <v>35000</v>
      </c>
      <c r="D6" s="11">
        <v>135600</v>
      </c>
      <c r="E6" s="11">
        <v>420000</v>
      </c>
      <c r="F6" s="11">
        <v>980000</v>
      </c>
      <c r="G6" s="11">
        <v>1850000</v>
      </c>
      <c r="H6" s="11">
        <v>5500000</v>
      </c>
    </row>
    <row r="7" ht="19" customHeight="1" spans="2:8" x14ac:dyDescent="0.25">
      <c r="B7" s="27" t="s">
        <v>146</v>
      </c>
      <c r="C7" s="6">
        <v>68000</v>
      </c>
      <c r="D7" s="6">
        <v>247200</v>
      </c>
      <c r="E7" s="6">
        <v>780000</v>
      </c>
      <c r="F7" s="6">
        <v>1950000</v>
      </c>
      <c r="G7" s="6">
        <v>3400000</v>
      </c>
      <c r="H7" s="6">
        <v>10200000</v>
      </c>
    </row>
    <row r="8" ht="19" customHeight="1" spans="2:8" x14ac:dyDescent="0.25">
      <c r="B8" s="28" t="s">
        <v>147</v>
      </c>
      <c r="C8" s="11">
        <v>95000</v>
      </c>
      <c r="D8" s="11">
        <v>364500</v>
      </c>
      <c r="E8" s="11">
        <v>1150000</v>
      </c>
      <c r="F8" s="11">
        <v>2800000</v>
      </c>
      <c r="G8" s="11">
        <v>4900000</v>
      </c>
      <c r="H8" s="11">
        <v>14500000</v>
      </c>
    </row>
    <row r="9" ht="19" customHeight="1" spans="2:8" x14ac:dyDescent="0.25">
      <c r="B9" s="27" t="s">
        <v>148</v>
      </c>
      <c r="C9" s="6">
        <v>110000</v>
      </c>
      <c r="D9" s="6">
        <v>409900</v>
      </c>
      <c r="E9" s="6">
        <v>1350000</v>
      </c>
      <c r="F9" s="6">
        <v>3200000</v>
      </c>
      <c r="G9" s="6">
        <v>5600000</v>
      </c>
      <c r="H9" s="6">
        <v>16800000</v>
      </c>
    </row>
    <row r="10" ht="19" customHeight="1" spans="2:8" x14ac:dyDescent="0.25">
      <c r="B10" s="28" t="s">
        <v>149</v>
      </c>
      <c r="C10" s="11">
        <v>92000</v>
      </c>
      <c r="D10" s="11">
        <v>335600</v>
      </c>
      <c r="E10" s="11">
        <v>1050000</v>
      </c>
      <c r="F10" s="11">
        <v>2600000</v>
      </c>
      <c r="G10" s="11">
        <v>4700000</v>
      </c>
      <c r="H10" s="11">
        <v>13200000</v>
      </c>
    </row>
  </sheetData>
  <mergeCells count="1">
    <mergeCell ref="B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⚡ 2-Min Quick Check-In</vt:lpstr>
      <vt:lpstr>📊 Executive Dashboard</vt:lpstr>
      <vt:lpstr>💸 Smart Budget (50-30-20)</vt:lpstr>
      <vt:lpstr>🎯 Sinking Funds Shield</vt:lpstr>
      <vt:lpstr>🔥 FIRE Freedom Engine</vt:lpstr>
      <vt:lpstr>💳 Debt Avalanche &amp; Snowball</vt:lpstr>
      <vt:lpstr>🏛️ Fed Benchmarks (SCF)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Jha — GetNetWorthCalculator.com</dc:creator>
  <dc:title/>
  <dc:subject/>
  <dc:description/>
  <cp:keywords/>
  <cp:category/>
  <cp:lastModifiedBy>GetNetWorth Analytics Team</cp:lastModifiedBy>
  <dcterms:created xsi:type="dcterms:W3CDTF">2026-10-22T11:18:36Z</dcterms:created>
  <dcterms:modified xsi:type="dcterms:W3CDTF">2026-10-22T11:18:36Z</dcterms:modified>
</cp:coreProperties>
</file>