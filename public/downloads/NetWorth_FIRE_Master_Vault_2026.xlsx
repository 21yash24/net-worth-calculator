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rivate Wealth Diagnostic" state="visible" r:id="rId5"/>
    <sheet sheetId="3" name="2-Min Check-In" state="visible" r:id="rId6"/>
    <sheet sheetId="4" name="Executive Dashboard" state="visible" r:id="rId7"/>
    <sheet sheetId="5" name="Smart Budget (50-30-20)" state="visible" r:id="rId8"/>
    <sheet sheetId="6" name="Statement &amp; Expense Ledger" state="visible" r:id="rId9"/>
    <sheet sheetId="7" name="Sinking Funds Shield" state="visible" r:id="rId10"/>
    <sheet sheetId="8" name="FIRE Freedom Engine" state="visible" r:id="rId11"/>
    <sheet sheetId="9" name="Debt Avalanche &amp; Snowball" state="visible" r:id="rId12"/>
    <sheet sheetId="10" name="Fed &amp; State Benchmarks" state="visible" r:id="rId13"/>
  </sheets>
  <calcPr calcId="171027"/>
</workbook>
</file>

<file path=xl/sharedStrings.xml><?xml version="1.0" encoding="utf-8"?>
<sst xmlns="http://schemas.openxmlformats.org/spreadsheetml/2006/main" count="500" uniqueCount="426">
  <si>
    <t>🏛️ GETNETWORTHCALCULATOR.COM • OFFICIAL WEALTH &amp; BUDGET OPERATING SYSTEM</t>
  </si>
  <si>
    <t>Modeled by GetNetWorth Analytics | Benchmarked Against US Federal Reserve SCF Microdata (2026)</t>
  </si>
  <si>
    <t>🚀 THE 3-STEP MONTHLY ROUTINE (TAKES 2 MINUTES ON THE 1ST OF EACH MONTH)</t>
  </si>
  <si>
    <t>Step 1: Monthly Routine</t>
  </si>
  <si>
    <t>Select '2-Min Check-In'</t>
  </si>
  <si>
    <t>On the 1st of every month, open the 2-Min Check-In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</si>
  <si>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</si>
  <si>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</si>
  <si>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</si>
  <si>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</si>
  <si>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</si>
  <si>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</si>
  <si>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</si>
  <si>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</si>
  <si>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</si>
  <si>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</si>
  <si>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</si>
  <si>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</si>
  <si>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</si>
  <si>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</si>
  <si>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</si>
  <si>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</si>
  <si>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</si>
  <si>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🏛️ Private Wealth Diagnostic</t>
  </si>
  <si>
    <t>Instant baseline assessment: Benchmark your official wealth tier (PAW/UAW), audit capital leaks &amp; compute true hourly life energy.</t>
  </si>
  <si>
    <t>2-Min Check-In</t>
  </si>
  <si>
    <t>For 90% of months: Type 4 numbers once a month in 90 seconds. Zero homework.</t>
  </si>
  <si>
    <t>📊 Executive Dashboard</t>
  </si>
  <si>
    <t>Bloomberg-style visual terminal with Stanley &amp; Danko Wealth Class (PAW/UAW) Engine.</t>
  </si>
  <si>
    <t>💸 Smart Budget (50/30/20)</t>
  </si>
  <si>
    <t>Answers: 'How much can I spend today guilt-free?' (Needs 50%, Wants 30%, Wealth 20%).</t>
  </si>
  <si>
    <t>💳 Statement &amp; Expense Ledger</t>
  </si>
  <si>
    <t>100% private bank statement drop-zone. Ingests PDF/CSV converted at getnetworthcalculator.com/tools/statement-converter with instant 50/30/20 actuals &amp; subscription leak detector.</t>
  </si>
  <si>
    <t>Sinking Funds Shield</t>
  </si>
  <si>
    <t>Prevents budget shock from car repairs, holiday travel, and annual insurance renewals.</t>
  </si>
  <si>
    <t>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</si>
  <si>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</si>
  <si>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</si>
  <si>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</si>
  <si>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&amp; State Benchmarks</t>
  </si>
  <si>
    <t>Official US Federal Reserve SCF microdata + 50 US States Median Wealth Index.</t>
  </si>
  <si>
    <t>🌐 GetNetWorthCalculator.com • 100% Private, Anonymous &amp; Offline • Official 2026 Edition</t>
  </si>
  <si>
    <t>🏛️ PRIVATE WEALTH DIAGNOSTIC &amp; CAPITAL AUDIT • GETNETWORTH</t>
  </si>
  <si>
    <t>Official Accumulation Tier Benchmark • Recurring Capital Leakage Audit • True Hourly Life Energy Metric</t>
  </si>
  <si>
    <t>🎯 WEALTH ACCUMULATION TIER &amp; BENCHMARK DIAGNOSTIC</t>
  </si>
  <si>
    <t>1. YOUR CURRENT AGE</t>
  </si>
  <si>
    <t>2. ANNUAL PRE-TAX INCOME</t>
  </si>
  <si>
    <t>3. CURRENT ESTIMATED NET WORTH</t>
  </si>
  <si>
    <t>🏆 OFFICIAL ACCUMULATION TIER</t>
  </si>
  <si>
    <t>🎯 BENCHMARK NET WORTH FOR AGE</t>
  </si>
  <si>
    <t>🚀 NEXT CAPITAL MILESTONE</t>
  </si>
  <si>
    <t>💸 CAPITAL INEFFICIENCY &amp; CASH FLOW LEAKAGE AUDIT</t>
  </si>
  <si>
    <t>Recurring Monthly Outflow / Underutilized Service</t>
  </si>
  <si>
    <t>Monthly Cost ($)</t>
  </si>
  <si>
    <t>Optimization &amp; Capital Reclamation Action</t>
  </si>
  <si>
    <t>Unused Streaming &amp; Digital Subscriptions</t>
  </si>
  <si>
    <t>Cancel or pause immediately</t>
  </si>
  <si>
    <t>Unused Gym &amp; Fitness App Memberships</t>
  </si>
  <si>
    <t>Switch to free tier or pause</t>
  </si>
  <si>
    <t>Food Delivery App Service Fees &amp; Markups</t>
  </si>
  <si>
    <t>Cap delivery orders to 1x weekly</t>
  </si>
  <si>
    <t>Overpriced Mobile / Auto Insurance Policy</t>
  </si>
  <si>
    <t>Renegotiate premium or re-quote</t>
  </si>
  <si>
    <t>TOTAL RECURRING CASH OUTFLOW IDENTIFIED</t>
  </si>
  <si>
    <t>Reclaimable immediately into your surplus cash flow</t>
  </si>
  <si>
    <t>🟢 ANNUAL RECLAIMED CASH FLOW</t>
  </si>
  <si>
    <t>📈 10-YEAR COMPOUNDED WEALTH (8%)</t>
  </si>
  <si>
    <t>⏳ LIFE ENERGY &amp; TRUE HOURLY VALUE CONVERSION</t>
  </si>
  <si>
    <t>Your Real Hourly Yield (Pre-Tax / 2,080 hrs)</t>
  </si>
  <si>
    <t>Discretionary Purchase Price ($)</t>
  </si>
  <si>
    <t>True Hours of Finite Life Required</t>
  </si>
  <si>
    <t>🚀 READY FOR YOUR ONGOING ROUTINE? SELECT THE "2-Min Check-In" TAB BELOW 👇</t>
  </si>
  <si>
    <t>⚡ 2-MINUTE MONTHLY QUICK CHECK-IN • GETNETWORTHCALCULATOR.COM</t>
  </si>
  <si>
    <t>Rule of Thumb: On the 1st of each month, type just 4 numbers (green headers). Net Worth, Liquid Ratio &amp; Deltas compute automatically.</t>
  </si>
  <si>
    <t>Month</t>
  </si>
  <si>
    <t>💵 Cash &amp; Savings</t>
  </si>
  <si>
    <t>📈 Invested Portfolio</t>
  </si>
  <si>
    <t>🏠 Property &amp; Assets</t>
  </si>
  <si>
    <t>💳 Total Debts</t>
  </si>
  <si>
    <t>🏛️ TOTAL NET WORTH</t>
  </si>
  <si>
    <t>MoM Gain ($)</t>
  </si>
  <si>
    <t>MoM Growth (%)</t>
  </si>
  <si>
    <t>💧 LIQUID NET WORTH</t>
  </si>
  <si>
    <t>Liquid Ratio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</si>
  <si>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</si>
  <si>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</si>
  <si>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</si>
  <si>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</si>
  <si>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</si>
  <si>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</si>
  <si>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</si>
  <si>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</si>
  <si>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</si>
  <si>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</si>
  <si>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</si>
  <si>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</si>
  <si>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</si>
  <si>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EXECUTIVE WEALTH COMMAND CENTER • GETNETWORTHCALCULATOR.COM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</si>
  <si>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</si>
  <si>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</si>
  <si>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</si>
  <si>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</si>
  <si>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</si>
  <si>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</si>
  <si>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</si>
  <si>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</si>
  <si>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</si>
  <si>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</si>
  <si>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</si>
  <si>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</si>
  <si>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</si>
  <si>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</si>
  <si>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</si>
  <si>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</si>
  <si>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</si>
  <si>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</si>
  <si>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</si>
  <si>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</si>
  <si>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</si>
  <si>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</si>
  <si>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</si>
  <si>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</si>
  <si>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</si>
  <si>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</si>
  <si>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</si>
  <si>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</si>
  <si>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</si>
  <si>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</si>
  <si>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</si>
  <si>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🏆 STANLEY &amp; DANKO WEALTH ACCUMULATION CLASS (PAW / AAW / UAW ENGINE)</t>
  </si>
  <si>
    <t>Your Age (Green Input)</t>
  </si>
  <si>
    <t>Pre-Tax Income (Green Input)</t>
  </si>
  <si>
    <t>Expected NW (Age×Income/10)</t>
  </si>
  <si>
    <t>Accumulation Multiplier</t>
  </si>
  <si>
    <t>Wealth Class Status</t>
  </si>
  <si>
    <t>🎯 WEALTH ACCELERATION MILESTONES (CHARLIE MUNGER COMPOUNDING CURVE)</t>
  </si>
  <si>
    <t>Milestone Tier</t>
  </si>
  <si>
    <t>Target ($)</t>
  </si>
  <si>
    <t>Progress (%)</t>
  </si>
  <si>
    <t>Remaining Gap ($)</t>
  </si>
  <si>
    <t>Compounding Dynamics &amp; Insights</t>
  </si>
  <si>
    <t>$100,000 (Base Foundation)</t>
  </si>
  <si>
    <t>The hardest milestone — 100% savings driven (Charlie Munger rule)</t>
  </si>
  <si>
    <t>$250,000 (Tipping Point)</t>
  </si>
  <si>
    <t>Compounding returns begin matching your monthly cash savings</t>
  </si>
  <si>
    <t>$500,000 (Half-Million)</t>
  </si>
  <si>
    <t>Investment gains frequently exceed annual take-home salary</t>
  </si>
  <si>
    <t>$1,000,000 (Two-Comma Club)</t>
  </si>
  <si>
    <t>Top 7% of US households — Full Financial Sovereignty</t>
  </si>
  <si>
    <t>💧 LIQUID NET WORTH &amp; EMERGENCY RUNWAY SHIELD • GETNETWORTHCALCULATOR.COM</t>
  </si>
  <si>
    <t>Liquid Assets (Cash+Invested)</t>
  </si>
  <si>
    <t>Monthly Baseline Needs</t>
  </si>
  <si>
    <t>Emergency Runway (Months)</t>
  </si>
  <si>
    <t>Liquid to Total NW Ratio</t>
  </si>
  <si>
    <t>Safe Liquidity Benchmark</t>
  </si>
  <si>
    <t>3-6 Mo for W2 • 12+ Mo for 1099/FIRE</t>
  </si>
  <si>
    <t>🌐 LIVE TOOLS ON GETNETWORTHCALCULATOR.COM: /wealth-class-calculator • /liquid-net-worth-calculator • /state • /coast-fire</t>
  </si>
  <si>
    <t>💸 SMART MONTHLY CASH FLOW &amp; 50/30/20 BUDGET • GETNETWORTHCALCULATOR.COM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</si>
  <si>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</si>
  <si>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</si>
  <si>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</si>
  <si>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</si>
  <si>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</si>
  <si>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</si>
  <si>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</si>
  <si>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</si>
  <si>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</si>
  <si>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</si>
  <si>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</si>
  <si>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</si>
  <si>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</si>
  <si>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</si>
  <si>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</si>
  <si>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</si>
  <si>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</si>
  <si>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</si>
  <si>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</si>
  <si>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</si>
  <si>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</si>
  <si>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</si>
  <si>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</si>
  <si>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</si>
  <si>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</si>
  <si>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</si>
  <si>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</si>
  <si>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</si>
  <si>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</si>
  <si>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</si>
  <si>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</si>
  <si>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</si>
  <si>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💳 BANK STATEMENT &amp; EXPENSE INTELLIGENCE LEDGER • 100% PRIVATE DROP-ZONE</t>
  </si>
  <si>
    <t>Step 1: Drop bank PDF at getnetworthcalculator.com/tools/statement-converter  ➔  Step 2: Click "Copy For Vault"  ➔  Step 3: Paste in Cell B12</t>
  </si>
  <si>
    <t>🚀 HOW TO INGEST YOUR BANK STATEMENT IN 10 SECONDS:</t>
  </si>
  <si>
    <t>📊 STATEMENT CASH FLOW HEALTH AUDIT (LIVE FORMULAS)</t>
  </si>
  <si>
    <t>1. Open https://getnetworthcalculator.com/tools/statement-converter in your browser (100% client-side privacy).</t>
  </si>
  <si>
    <t>Total Inflows / Deposits (Income)</t>
  </si>
  <si>
    <t>Salary &amp; Transfers</t>
  </si>
  <si>
    <t>2. Drop your bank PDF statement (Chase, Amex, BoA, Wells Fargo, Apple Card, Citi, Capital One, etc.) or CSV.</t>
  </si>
  <si>
    <t>Total Outflows (Monthly Spending)</t>
  </si>
  <si>
    <t>All debits</t>
  </si>
  <si>
    <t>3. Click the green "📋 1-Click Copy For Vault" button (copies tab-delimited pre-categorized ledger data).</t>
  </si>
  <si>
    <t>Net Monthly Cash Surplus / (Deficit)</t>
  </si>
  <si>
    <t>Net retained</t>
  </si>
  <si>
    <t>4. Select cell B12 below and press Cmd+V (Mac) or Ctrl+V (Windows). All 50/30/20 actuals &amp; totals update live!</t>
  </si>
  <si>
    <t>Calculated Savings Rate %</t>
  </si>
  <si>
    <t>Capital accumulation</t>
  </si>
  <si>
    <t>TRANSACTION DATE</t>
  </si>
  <si>
    <t>CLEAN MERCHANT / DESCRIPTION</t>
  </si>
  <si>
    <t>AMOUNT ($)</t>
  </si>
  <si>
    <t>CATEGORY</t>
  </si>
  <si>
    <t>50/30/20 BUCKET</t>
  </si>
  <si>
    <t>50/30/20 ACTUALS VS BUDGET</t>
  </si>
  <si>
    <t>ACTUAL ($)</t>
  </si>
  <si>
    <t>% SPEND</t>
  </si>
  <si>
    <t>RULE TARGET</t>
  </si>
  <si>
    <t>2026-10-01</t>
  </si>
  <si>
    <t>Tech Corp Payroll (Direct Deposit)</t>
  </si>
  <si>
    <t>INFLOW / DEPOSITS</t>
  </si>
  <si>
    <t>50% Needs (Rent, Utilities, Food, Gas)</t>
  </si>
  <si>
    <t>Max 50.0%</t>
  </si>
  <si>
    <t>2026-10-02</t>
  </si>
  <si>
    <t>Avalon Apartments Online Rent</t>
  </si>
  <si>
    <t>HOUSING &amp; UTILITIES</t>
  </si>
  <si>
    <t>50% Needs</t>
  </si>
  <si>
    <t>30% Wants (Dining, Shopping, Subs)</t>
  </si>
  <si>
    <t>Max 30.0%</t>
  </si>
  <si>
    <t>2026-10-03</t>
  </si>
  <si>
    <t>Trader Joe's Supermarket</t>
  </si>
  <si>
    <t>GROCERIES</t>
  </si>
  <si>
    <t>20% Wealth (Savings &amp; Investments)</t>
  </si>
  <si>
    <t>Min 20.0%</t>
  </si>
  <si>
    <t>2026-10-04</t>
  </si>
  <si>
    <t>Chevron Fuel Station</t>
  </si>
  <si>
    <t>TRANSPORTATION</t>
  </si>
  <si>
    <t>Total Discretionary + Essential Outflow</t>
  </si>
  <si>
    <t>100.0%</t>
  </si>
  <si>
    <t>2026-10-05</t>
  </si>
  <si>
    <t>Starbucks Coffee Downtown</t>
  </si>
  <si>
    <t>DINING</t>
  </si>
  <si>
    <t>30% Wants</t>
  </si>
  <si>
    <t>2026-10-06</t>
  </si>
  <si>
    <t>Netflix Digital Subscription</t>
  </si>
  <si>
    <t>SUBSCRIPTIONS</t>
  </si>
  <si>
    <t>🔍 SPENDING CATEGORY BREAKDOWN (AUTOMATED SUB-TOTALS)</t>
  </si>
  <si>
    <t>2026-10-07</t>
  </si>
  <si>
    <t>Amazon Marketplace Online</t>
  </si>
  <si>
    <t>SHOPPING &amp; RETAIL</t>
  </si>
  <si>
    <t>Housing &amp; Utilities</t>
  </si>
  <si>
    <t>Tracked</t>
  </si>
  <si>
    <t>2026-10-08</t>
  </si>
  <si>
    <t>Uber Ride City Transit</t>
  </si>
  <si>
    <t>Groceries &amp; Supermarkets</t>
  </si>
  <si>
    <t>2026-10-09</t>
  </si>
  <si>
    <t>Chipotle Mexican Grill</t>
  </si>
  <si>
    <t>Dining, Cafes &amp; Delivery</t>
  </si>
  <si>
    <t>2026-10-10</t>
  </si>
  <si>
    <t>Whole Foods Market SOMA</t>
  </si>
  <si>
    <t>Transportation &amp; Fuel</t>
  </si>
  <si>
    <t>2026-10-11</t>
  </si>
  <si>
    <t>PG&amp;E Electric &amp; Gas Utility</t>
  </si>
  <si>
    <t>Recurring Subscriptions (Vampire)</t>
  </si>
  <si>
    <t>⚠️ Audit Below</t>
  </si>
  <si>
    <t>2026-10-12</t>
  </si>
  <si>
    <t>Spotify USA Premium Monthly</t>
  </si>
  <si>
    <t>Shopping &amp; Retail</t>
  </si>
  <si>
    <t>2026-10-13</t>
  </si>
  <si>
    <t>Equinox Fitness Club Membership</t>
  </si>
  <si>
    <t>Healthcare &amp; Medical</t>
  </si>
  <si>
    <t>2026-10-14</t>
  </si>
  <si>
    <t>CVS Pharmacy Prescription</t>
  </si>
  <si>
    <t>HEALTHCARE</t>
  </si>
  <si>
    <t>Miscellaneous Discretionary</t>
  </si>
  <si>
    <t>2026-10-15</t>
  </si>
  <si>
    <t>2026-10-16</t>
  </si>
  <si>
    <t>DoorDash Sweetgreen Delivery</t>
  </si>
  <si>
    <t>🧛 VAMPIRE SUBSCRIPTION &amp; RECURRING LEAK DETECTOR</t>
  </si>
  <si>
    <t>2026-10-17</t>
  </si>
  <si>
    <t>Shell Gas &amp; Car Care</t>
  </si>
  <si>
    <t>Monthly Subscriptions Drain</t>
  </si>
  <si>
    <t>Cap &lt; 5% Spend</t>
  </si>
  <si>
    <t>2026-10-18</t>
  </si>
  <si>
    <t>Target Store Discretionary</t>
  </si>
  <si>
    <t>Annual Cash Drain (12 Months)</t>
  </si>
  <si>
    <t/>
  </si>
  <si>
    <t>Max $1,500/yr</t>
  </si>
  <si>
    <t>2026-10-19</t>
  </si>
  <si>
    <t>ChatGPT Plus OpenAI</t>
  </si>
  <si>
    <t>10-Year Compounded Loss (at 8% S&amp;P 500)</t>
  </si>
  <si>
    <t>Wealth Lost</t>
  </si>
  <si>
    <t>2026-10-20</t>
  </si>
  <si>
    <t>Apple iCloud Storage Plan</t>
  </si>
  <si>
    <t>Action Strategy to Reclaim Wealth</t>
  </si>
  <si>
    <t>Cancel unused</t>
  </si>
  <si>
    <t>Save + Compound</t>
  </si>
  <si>
    <t>2026-10-21</t>
  </si>
  <si>
    <t>Best Buy Electronics</t>
  </si>
  <si>
    <t>2026-10-22</t>
  </si>
  <si>
    <t>2026-10-23</t>
  </si>
  <si>
    <t>Verizon Wireless Mobile Bill</t>
  </si>
  <si>
    <t>2026-10-24</t>
  </si>
  <si>
    <t>Blue Bottle Coffee Roasters</t>
  </si>
  <si>
    <t>🎯 SINKING FUNDS &amp; IRREGULAR EXPENSE DEFENSE SHIELD • GETNETWORTHCALCULATOR.COM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</si>
  <si>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</si>
  <si>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</si>
  <si>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</si>
  <si>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</si>
  <si>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</si>
  <si>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</si>
  <si>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</si>
  <si>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</si>
  <si>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</si>
  <si>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</si>
  <si>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</si>
  <si>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</si>
  <si>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</si>
  <si>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</si>
  <si>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</si>
  <si>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• GETNETWORTHCALCULATOR.COM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</si>
  <si>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</si>
  <si>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</si>
  <si>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</si>
  <si>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</si>
  <si>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</si>
  <si>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</si>
  <si>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</si>
  <si>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</si>
  <si>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</si>
  <si>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</si>
  <si>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</si>
  <si>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</si>
  <si>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</si>
  <si>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</si>
  <si>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</si>
  <si>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</si>
  <si>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AVALANCHE VS SNOWBALL • GETNETWORTHCALCULATOR.COM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</si>
  <si>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</si>
  <si>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</si>
  <si>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</si>
  <si>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</si>
  <si>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</si>
  <si>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</si>
  <si>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</si>
  <si>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</si>
  <si>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</si>
  <si>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</si>
  <si>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</si>
  <si>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</si>
  <si>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</si>
  <si>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</si>
  <si>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SCF BENCHMARK DATA • GETNETWORTHCALCULATOR.COM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</si>
  <si>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</si>
  <si>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</si>
  <si>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</si>
  <si>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</si>
  <si>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</si>
  <si>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</si>
  <si>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</si>
  <si>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</si>
  <si>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</si>
  <si>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</si>
  <si>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</si>
  <si>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</si>
  <si>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</si>
  <si>
    <t>📍 TOP 10 US STATES WEALTH &amp; COST-OF-LIVING INDEX • GETNETWORTHCALCULATOR.COM/STATE</t>
  </si>
  <si>
    <t>US State</t>
  </si>
  <si>
    <t>Median NW</t>
  </si>
  <si>
    <t>Top 10% NW</t>
  </si>
  <si>
    <t>COL Index</t>
  </si>
  <si>
    <t>Median Home</t>
  </si>
  <si>
    <t>Wealth Tier</t>
  </si>
  <si>
    <t>Website State Hub</t>
  </si>
  <si>
    <t>California (CA)</t>
  </si>
  <si>
    <t>138.5 (HCOL)</t>
  </si>
  <si>
    <t>Top Tier</t>
  </si>
  <si>
    <t>getnetworthcalculator.com/state/california</t>
  </si>
  <si>
    <t>New York (NY)</t>
  </si>
  <si>
    <t>134.2 (HCOL)</t>
  </si>
  <si>
    <t>getnetworthcalculator.com/state/new-york</t>
  </si>
  <si>
    <t>Washington (WA)</t>
  </si>
  <si>
    <t>115.1 (MCOL+)</t>
  </si>
  <si>
    <t>getnetworthcalculator.com/state/washington</t>
  </si>
  <si>
    <t>Texas (TX)</t>
  </si>
  <si>
    <t>92.5 (LCOL)</t>
  </si>
  <si>
    <t>High Value</t>
  </si>
  <si>
    <t>getnetworthcalculator.com/state/texas</t>
  </si>
  <si>
    <t>Florida (FL)</t>
  </si>
  <si>
    <t>102.8 (Avg)</t>
  </si>
  <si>
    <t>Growing</t>
  </si>
  <si>
    <t>getnetworthcalculator.com/state/florida</t>
  </si>
  <si>
    <t>Massachusetts (MA)</t>
  </si>
  <si>
    <t>148.0 (HCOL)</t>
  </si>
  <si>
    <t>getnetworthcalculator.com/state/massachusetts</t>
  </si>
  <si>
    <t>Illinois (IL)</t>
  </si>
  <si>
    <t>91.8 (LCOL)</t>
  </si>
  <si>
    <t>getnetworthcalculator.com/state/illinois</t>
  </si>
  <si>
    <t>Colorado (CO)</t>
  </si>
  <si>
    <t>105.4 (Avg)</t>
  </si>
  <si>
    <t>High Growth</t>
  </si>
  <si>
    <t>getnetworthcalculator.com/state/colorado</t>
  </si>
  <si>
    <t>📊 FIDELITY RETIREMENT SAVINGS BENCHMARKS BY AGE • GETNETWORTHCALCULATOR.COM</t>
  </si>
  <si>
    <t>Age Milestone</t>
  </si>
  <si>
    <t>Salary Multiplier</t>
  </si>
  <si>
    <t>Target ($100k Sal)</t>
  </si>
  <si>
    <t>Target ($150k Sal)</t>
  </si>
  <si>
    <t>Fidelity Rule of Thumb</t>
  </si>
  <si>
    <t>Online Calculator Tool</t>
  </si>
  <si>
    <t>Website Hub</t>
  </si>
  <si>
    <t>Age 30</t>
  </si>
  <si>
    <t>Have 1x annual salary saved in invested portfolio</t>
  </si>
  <si>
    <t>savings-multiplier-by-age</t>
  </si>
  <si>
    <t>getnetworthcalculator.com</t>
  </si>
  <si>
    <t>Age 35</t>
  </si>
  <si>
    <t>Have 2x annual salary saved (tipping point)</t>
  </si>
  <si>
    <t>Age 40</t>
  </si>
  <si>
    <t>Have 3x annual salary saved</t>
  </si>
  <si>
    <t>Age 45</t>
  </si>
  <si>
    <t>Have 4x annual salary saved</t>
  </si>
  <si>
    <t>Age 50</t>
  </si>
  <si>
    <t>Have 6x annual salary saved</t>
  </si>
  <si>
    <t>Age 55</t>
  </si>
  <si>
    <t>Have 7x annual salary saved</t>
  </si>
  <si>
    <t>Age 60</t>
  </si>
  <si>
    <t>Have 8x annual salary saved</t>
  </si>
  <si>
    <t>Age 67</t>
  </si>
  <si>
    <t>Full retirement baseline target (10x income)</t>
  </si>
  <si>
    <t>🌐 Explore live interactive tools: getnetworthcalculator.com/savings-multiplier-by-age • /wealth-class-calculator • 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</si>
</sst>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$#,##0"/>
    <numFmt numFmtId="165" formatCode="&quot;Remaining Capital to Next Milestone: $&quot;#,##0"/>
    <numFmt numFmtId="166" formatCode="$#,##0&quot;/mo&quot;"/>
    <numFmt numFmtId="167" formatCode="&quot;+$&quot;#,##0&quot; / Year Added To Net Worth&quot;"/>
    <numFmt numFmtId="168" formatCode="&quot;+$&quot;#,##0&quot; (10-Yr Compounded Value)&quot;"/>
    <numFmt numFmtId="169" formatCode="$#,##0.00&quot;/hr&quot;"/>
    <numFmt numFmtId="170" formatCode="0.0&quot; Hours of Work&quot;"/>
    <numFmt numFmtId="171" formatCode="+$#,##0;-$#,##0;$0"/>
    <numFmt numFmtId="172" formatCode="+0.0%;-0.0%;0.0%"/>
    <numFmt numFmtId="173" formatCode="0.0%"/>
    <numFmt numFmtId="174" formatCode="&quot;+$&quot;#,##0;&quot;-$&quot;#,##0;&quot;$0&quot;"/>
    <numFmt numFmtId="175" formatCode="0.00&quot;x&quot;"/>
    <numFmt numFmtId="176" formatCode="0.0&quot; Months&quot;"/>
    <numFmt numFmtId="177" formatCode="$#,##0/day"/>
    <numFmt numFmtId="178" formatCode="$#,##0.00"/>
    <numFmt numFmtId="179" formatCode="0.0&quot;x&quot;"/>
  </numFmts>
  <fonts count="59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b/>
      <color rgb="FF065F46"/>
      <sz val="9.5"/>
    </font>
    <font>
      <b/>
      <color rgb="FFFFFFFF"/>
      <sz val="10.5"/>
      <name val="Arial"/>
    </font>
    <font>
      <b/>
      <color rgb="FF94A3B8"/>
      <sz val="9"/>
    </font>
    <font>
      <b/>
      <color rgb="FFFFFFFF"/>
      <sz val="14"/>
    </font>
    <font>
      <b/>
      <color rgb="FF94A3B8"/>
      <sz val="8.5"/>
    </font>
    <font>
      <b/>
      <color rgb="FF10B981"/>
      <sz val="12"/>
    </font>
    <font>
      <b/>
      <color rgb="FFFFFFFF"/>
      <sz val="12"/>
    </font>
    <font>
      <b/>
      <color rgb="FFF59E0B"/>
      <sz val="12"/>
    </font>
    <font>
      <b/>
      <color rgb="FFCBD5E1"/>
      <sz val="9.5"/>
    </font>
    <font>
      <b/>
      <color rgb="FFFFFFFF"/>
      <sz val="8.5"/>
    </font>
    <font>
      <i/>
      <color rgb="FF64748B"/>
      <sz val="8.5"/>
    </font>
    <font>
      <b/>
      <color rgb="FFF43F5E"/>
      <sz val="10"/>
    </font>
    <font>
      <color rgb="FF64748B"/>
      <sz val="8.5"/>
    </font>
    <font>
      <b/>
      <color rgb="FF10B981"/>
      <sz val="8.5"/>
    </font>
    <font>
      <b/>
      <color rgb="FF38BDF8"/>
      <sz val="8.5"/>
    </font>
    <font>
      <b/>
      <color rgb="FF38BDF8"/>
      <sz val="11"/>
    </font>
    <font>
      <b/>
      <color rgb="FFFFFFFF"/>
      <sz val="11"/>
    </font>
    <font>
      <b/>
      <color rgb="FFFFFFFF"/>
      <sz val="9.5"/>
      <name val="Arial"/>
    </font>
    <font>
      <b/>
      <sz val="10"/>
      <name val="Arial"/>
    </font>
    <font>
      <b/>
      <color rgb="FF065F46"/>
      <sz val="10"/>
      <name val="Arial"/>
    </font>
    <font>
      <b/>
      <color rgb="FF10B981"/>
      <sz val="10"/>
      <name val="Arial"/>
    </font>
    <font>
      <b/>
      <color rgb="FFFFFFFF"/>
    </font>
    <font>
      <i/>
      <color rgb="FF94A3B8"/>
      <sz val="9"/>
      <name val="Arial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0.5"/>
    </font>
    <font>
      <color rgb="FF475569"/>
      <sz val="8.5"/>
    </font>
    <font>
      <b/>
      <color rgb="FFF59E0B"/>
      <sz val="9"/>
    </font>
    <font>
      <b/>
      <i/>
      <color rgb="FF10B981"/>
      <sz val="9"/>
    </font>
    <font>
      <b/>
      <color rgb="FFFFFFFF"/>
      <sz val="15"/>
    </font>
    <font>
      <b/>
      <color rgb="FFFFFFFF"/>
      <sz val="9.5"/>
    </font>
    <font>
      <color rgb="FF0F172A"/>
      <sz val="8.5"/>
    </font>
    <font>
      <b/>
      <sz val="8.5"/>
    </font>
    <font>
      <b/>
      <color rgb="FF10B981"/>
    </font>
    <font>
      <i/>
      <color rgb="FF94A3B8"/>
      <sz val="8"/>
    </font>
    <font>
      <b/>
      <color rgb="FFF43F5E"/>
    </font>
    <font>
      <b/>
      <color rgb="FFF59E0B"/>
    </font>
    <font>
      <sz val="8.5"/>
    </font>
    <font>
      <b/>
      <color rgb="FF0F172A"/>
      <sz val="8.5"/>
    </font>
    <font>
      <i/>
      <color rgb="FF64748B"/>
      <sz val="8"/>
    </font>
    <font>
      <i/>
      <color rgb="FFF43F5E"/>
      <sz val="8"/>
    </font>
    <font>
      <b/>
      <color rgb="FFF43F5E"/>
      <sz val="8.5"/>
    </font>
    <font>
      <b/>
      <color rgb="FFFFFFFF"/>
      <sz val="11"/>
      <name val="Arial"/>
    </font>
    <font>
      <i/>
      <color rgb="FF64748B"/>
      <sz val="9"/>
    </font>
    <font>
      <b/>
      <color rgb="FFFFFFFF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047857"/>
      </patternFill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  <fill>
      <patternFill patternType="solid">
        <fgColor rgb="FF065F46"/>
      </patternFill>
    </fill>
    <fill>
      <patternFill patternType="solid">
        <fgColor rgb="FFF1F5F9"/>
      </patternFill>
    </fill>
    <fill>
      <patternFill patternType="solid">
        <fgColor rgb="FF991B1B"/>
      </patternFill>
    </fill>
    <fill>
      <patternFill patternType="solid">
        <fgColor rgb="FFFFF1F2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64" fontId="14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5" fontId="16" fillId="3" borderId="0" xfId="0" applyNumberFormat="1" applyFont="1" applyFill="1" applyAlignment="1">
      <alignment horizontal="center" vertical="center"/>
    </xf>
    <xf numFmtId="0" fontId="17" fillId="3" borderId="1" xfId="0" applyFont="1" applyFill="1" applyBorder="1"/>
    <xf numFmtId="164" fontId="6" fillId="5" borderId="1" xfId="0" applyNumberFormat="1" applyFont="1" applyFill="1" applyBorder="1"/>
    <xf numFmtId="0" fontId="18" fillId="0" borderId="1" xfId="0" applyFont="1" applyBorder="1"/>
    <xf numFmtId="166" fontId="19" fillId="0" borderId="1" xfId="0" applyNumberFormat="1" applyFont="1" applyBorder="1"/>
    <xf numFmtId="0" fontId="20" fillId="0" borderId="1" xfId="0" applyFont="1" applyBorder="1"/>
    <xf numFmtId="0" fontId="21" fillId="4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8" fontId="23" fillId="4" borderId="0" xfId="0" applyNumberFormat="1" applyFont="1" applyFill="1" applyAlignment="1">
      <alignment horizontal="center" vertical="center"/>
    </xf>
    <xf numFmtId="169" fontId="24" fillId="4" borderId="1" xfId="0" applyNumberFormat="1" applyFont="1" applyFill="1" applyBorder="1"/>
    <xf numFmtId="164" fontId="24" fillId="2" borderId="1" xfId="0" applyNumberFormat="1" applyFont="1" applyFill="1" applyBorder="1"/>
    <xf numFmtId="170" fontId="15" fillId="4" borderId="1" xfId="0" applyNumberFormat="1" applyFont="1" applyFill="1" applyBorder="1"/>
    <xf numFmtId="0" fontId="3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164" fontId="0" fillId="0" borderId="1" xfId="0" applyNumberFormat="1" applyBorder="1"/>
    <xf numFmtId="164" fontId="27" fillId="0" borderId="1" xfId="0" applyNumberFormat="1" applyFont="1" applyBorder="1"/>
    <xf numFmtId="171" fontId="0" fillId="0" borderId="1" xfId="0" applyNumberFormat="1" applyBorder="1"/>
    <xf numFmtId="172" fontId="0" fillId="0" borderId="1" xfId="0" applyNumberFormat="1" applyBorder="1"/>
    <xf numFmtId="164" fontId="28" fillId="0" borderId="1" xfId="0" applyNumberFormat="1" applyFont="1" applyBorder="1"/>
    <xf numFmtId="173" fontId="0" fillId="0" borderId="1" xfId="0" applyNumberFormat="1" applyBorder="1"/>
    <xf numFmtId="0" fontId="26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71" fontId="0" fillId="6" borderId="1" xfId="0" applyNumberFormat="1" applyFill="1" applyBorder="1"/>
    <xf numFmtId="172" fontId="0" fillId="6" borderId="1" xfId="0" applyNumberFormat="1" applyFill="1" applyBorder="1"/>
    <xf numFmtId="173" fontId="0" fillId="6" borderId="1" xfId="0" applyNumberFormat="1" applyFill="1" applyBorder="1"/>
    <xf numFmtId="0" fontId="29" fillId="3" borderId="1" xfId="0" applyFont="1" applyFill="1" applyBorder="1"/>
    <xf numFmtId="164" fontId="29" fillId="3" borderId="1" xfId="0" applyNumberFormat="1" applyFont="1" applyFill="1" applyBorder="1"/>
    <xf numFmtId="172" fontId="29" fillId="3" borderId="1" xfId="0" applyNumberFormat="1" applyFont="1" applyFill="1" applyBorder="1"/>
    <xf numFmtId="0" fontId="1" fillId="3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10" fillId="4" borderId="0" xfId="0" applyFont="1" applyFill="1"/>
    <xf numFmtId="164" fontId="31" fillId="4" borderId="0" xfId="0" applyNumberFormat="1" applyFont="1" applyFill="1" applyAlignment="1">
      <alignment vertical="center"/>
    </xf>
    <xf numFmtId="164" fontId="32" fillId="4" borderId="0" xfId="0" applyNumberFormat="1" applyFont="1" applyFill="1" applyAlignment="1">
      <alignment vertical="center"/>
    </xf>
    <xf numFmtId="0" fontId="33" fillId="4" borderId="0" xfId="0" applyFont="1" applyFill="1" applyAlignment="1">
      <alignment vertical="center"/>
    </xf>
    <xf numFmtId="174" fontId="34" fillId="4" borderId="0" xfId="0" applyNumberFormat="1" applyFont="1" applyFill="1"/>
    <xf numFmtId="173" fontId="35" fillId="4" borderId="0" xfId="0" applyNumberFormat="1" applyFont="1" applyFill="1"/>
    <xf numFmtId="0" fontId="35" fillId="4" borderId="0" xfId="0" applyFont="1" applyFill="1"/>
    <xf numFmtId="0" fontId="24" fillId="3" borderId="0" xfId="0" applyFont="1" applyFill="1"/>
    <xf numFmtId="0" fontId="36" fillId="4" borderId="1" xfId="0" applyFont="1" applyFill="1" applyBorder="1"/>
    <xf numFmtId="0" fontId="0" fillId="6" borderId="1" xfId="0" applyFill="1" applyBorder="1"/>
    <xf numFmtId="0" fontId="37" fillId="4" borderId="0" xfId="0" applyFont="1" applyFill="1"/>
    <xf numFmtId="0" fontId="38" fillId="4" borderId="0" xfId="0" applyFont="1" applyFill="1"/>
    <xf numFmtId="0" fontId="39" fillId="2" borderId="0" xfId="0" applyFont="1" applyFill="1"/>
    <xf numFmtId="0" fontId="37" fillId="4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175" fontId="1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9" fillId="3" borderId="0" xfId="0" applyFont="1" applyFill="1"/>
    <xf numFmtId="164" fontId="6" fillId="0" borderId="1" xfId="0" applyNumberFormat="1" applyFont="1" applyBorder="1"/>
    <xf numFmtId="173" fontId="34" fillId="0" borderId="1" xfId="0" applyNumberFormat="1" applyFont="1" applyBorder="1"/>
    <xf numFmtId="0" fontId="40" fillId="0" borderId="1" xfId="0" applyFont="1" applyBorder="1"/>
    <xf numFmtId="0" fontId="6" fillId="6" borderId="1" xfId="0" applyFont="1" applyFill="1" applyBorder="1"/>
    <xf numFmtId="164" fontId="6" fillId="6" borderId="1" xfId="0" applyNumberFormat="1" applyFont="1" applyFill="1" applyBorder="1"/>
    <xf numFmtId="173" fontId="34" fillId="6" borderId="1" xfId="0" applyNumberFormat="1" applyFont="1" applyFill="1" applyBorder="1"/>
    <xf numFmtId="0" fontId="40" fillId="6" borderId="1" xfId="0" applyFont="1" applyFill="1" applyBorder="1"/>
    <xf numFmtId="164" fontId="14" fillId="4" borderId="1" xfId="0" applyNumberFormat="1" applyFont="1" applyFill="1" applyBorder="1"/>
    <xf numFmtId="176" fontId="13" fillId="4" borderId="1" xfId="0" applyNumberFormat="1" applyFont="1" applyFill="1" applyBorder="1"/>
    <xf numFmtId="173" fontId="14" fillId="4" borderId="1" xfId="0" applyNumberFormat="1" applyFont="1" applyFill="1" applyBorder="1"/>
    <xf numFmtId="0" fontId="41" fillId="4" borderId="1" xfId="0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34" fillId="4" borderId="0" xfId="0" applyFont="1" applyFill="1"/>
    <xf numFmtId="164" fontId="32" fillId="4" borderId="0" xfId="0" applyNumberFormat="1" applyFont="1" applyFill="1"/>
    <xf numFmtId="177" fontId="43" fillId="4" borderId="0" xfId="0" applyNumberFormat="1" applyFont="1" applyFill="1"/>
    <xf numFmtId="0" fontId="36" fillId="3" borderId="1" xfId="0" applyFont="1" applyFill="1" applyBorder="1"/>
    <xf numFmtId="0" fontId="3" fillId="2" borderId="0" xfId="0" applyFont="1" applyFill="1"/>
    <xf numFmtId="0" fontId="29" fillId="4" borderId="1" xfId="0" applyFont="1" applyFill="1" applyBorder="1"/>
    <xf numFmtId="164" fontId="29" fillId="4" borderId="1" xfId="0" applyNumberFormat="1" applyFont="1" applyFill="1" applyBorder="1"/>
    <xf numFmtId="0" fontId="3" fillId="7" borderId="0" xfId="0" applyFont="1" applyFill="1"/>
    <xf numFmtId="0" fontId="29" fillId="7" borderId="1" xfId="0" applyFont="1" applyFill="1" applyBorder="1"/>
    <xf numFmtId="164" fontId="29" fillId="7" borderId="1" xfId="0" applyNumberFormat="1" applyFont="1" applyFill="1" applyBorder="1"/>
    <xf numFmtId="173" fontId="29" fillId="7" borderId="1" xfId="0" applyNumberFormat="1" applyFont="1" applyFill="1" applyBorder="1"/>
    <xf numFmtId="0" fontId="3" fillId="8" borderId="0" xfId="0" applyFont="1" applyFill="1"/>
    <xf numFmtId="0" fontId="29" fillId="8" borderId="1" xfId="0" applyFont="1" applyFill="1" applyBorder="1"/>
    <xf numFmtId="164" fontId="29" fillId="8" borderId="1" xfId="0" applyNumberFormat="1" applyFont="1" applyFill="1" applyBorder="1"/>
    <xf numFmtId="173" fontId="29" fillId="8" borderId="1" xfId="0" applyNumberFormat="1" applyFont="1" applyFill="1" applyBorder="1"/>
    <xf numFmtId="0" fontId="29" fillId="2" borderId="1" xfId="0" applyFont="1" applyFill="1" applyBorder="1"/>
    <xf numFmtId="164" fontId="29" fillId="2" borderId="1" xfId="0" applyNumberFormat="1" applyFont="1" applyFill="1" applyBorder="1"/>
    <xf numFmtId="173" fontId="29" fillId="2" borderId="1" xfId="0" applyNumberFormat="1" applyFont="1" applyFill="1" applyBorder="1"/>
    <xf numFmtId="0" fontId="44" fillId="9" borderId="0" xfId="0" applyFont="1" applyFill="1"/>
    <xf numFmtId="0" fontId="44" fillId="3" borderId="0" xfId="0" applyFont="1" applyFill="1"/>
    <xf numFmtId="0" fontId="45" fillId="6" borderId="1" xfId="0" applyFont="1" applyFill="1" applyBorder="1"/>
    <xf numFmtId="0" fontId="46" fillId="10" borderId="1" xfId="0" applyFont="1" applyFill="1" applyBorder="1"/>
    <xf numFmtId="178" fontId="47" fillId="4" borderId="1" xfId="0" applyNumberFormat="1" applyFont="1" applyFill="1" applyBorder="1" applyAlignment="1">
      <alignment horizontal="right" vertical="center"/>
    </xf>
    <xf numFmtId="0" fontId="48" fillId="4" borderId="1" xfId="0" applyFont="1" applyFill="1" applyBorder="1" applyAlignment="1">
      <alignment horizontal="center" vertical="center"/>
    </xf>
    <xf numFmtId="178" fontId="49" fillId="4" borderId="1" xfId="0" applyNumberFormat="1" applyFont="1" applyFill="1" applyBorder="1" applyAlignment="1">
      <alignment horizontal="right" vertical="center"/>
    </xf>
    <xf numFmtId="178" fontId="29" fillId="4" borderId="1" xfId="0" applyNumberFormat="1" applyFont="1" applyFill="1" applyBorder="1" applyAlignment="1">
      <alignment horizontal="right" vertical="center"/>
    </xf>
    <xf numFmtId="173" fontId="50" fillId="4" borderId="1" xfId="0" applyNumberFormat="1" applyFont="1" applyFill="1" applyBorder="1" applyAlignment="1">
      <alignment horizontal="right" vertical="center"/>
    </xf>
    <xf numFmtId="0" fontId="36" fillId="4" borderId="1" xfId="0" applyFont="1" applyFill="1" applyBorder="1" applyAlignment="1">
      <alignment horizontal="left" vertical="center"/>
    </xf>
    <xf numFmtId="0" fontId="36" fillId="4" borderId="1" xfId="0" applyFont="1" applyFill="1" applyBorder="1" applyAlignment="1">
      <alignment horizontal="right" vertical="center"/>
    </xf>
    <xf numFmtId="0" fontId="36" fillId="2" borderId="1" xfId="0" applyFont="1" applyFill="1" applyBorder="1"/>
    <xf numFmtId="0" fontId="36" fillId="2" borderId="1" xfId="0" applyFont="1" applyFill="1" applyBorder="1" applyAlignment="1">
      <alignment horizontal="right" vertical="center"/>
    </xf>
    <xf numFmtId="0" fontId="36" fillId="2" borderId="1" xfId="0" applyFont="1" applyFill="1" applyBorder="1" applyAlignment="1">
      <alignment horizontal="center" vertical="center"/>
    </xf>
    <xf numFmtId="0" fontId="51" fillId="0" borderId="1" xfId="0" applyFont="1" applyBorder="1"/>
    <xf numFmtId="0" fontId="46" fillId="0" borderId="1" xfId="0" applyFont="1" applyBorder="1"/>
    <xf numFmtId="178" fontId="21" fillId="0" borderId="1" xfId="0" applyNumberFormat="1" applyFont="1" applyBorder="1" applyAlignment="1">
      <alignment horizontal="right"/>
    </xf>
    <xf numFmtId="178" fontId="5" fillId="0" borderId="1" xfId="0" applyNumberFormat="1" applyFont="1" applyBorder="1"/>
    <xf numFmtId="0" fontId="18" fillId="0" borderId="1" xfId="0" applyFont="1" applyBorder="1" applyAlignment="1">
      <alignment horizontal="center"/>
    </xf>
    <xf numFmtId="0" fontId="51" fillId="6" borderId="1" xfId="0" applyFont="1" applyFill="1" applyBorder="1"/>
    <xf numFmtId="0" fontId="46" fillId="6" borderId="1" xfId="0" applyFont="1" applyFill="1" applyBorder="1"/>
    <xf numFmtId="178" fontId="52" fillId="6" borderId="1" xfId="0" applyNumberFormat="1" applyFont="1" applyFill="1" applyBorder="1" applyAlignment="1">
      <alignment horizontal="right"/>
    </xf>
    <xf numFmtId="178" fontId="52" fillId="0" borderId="1" xfId="0" applyNumberFormat="1" applyFont="1" applyBorder="1" applyAlignment="1">
      <alignment horizontal="right"/>
    </xf>
    <xf numFmtId="178" fontId="36" fillId="4" borderId="1" xfId="0" applyNumberFormat="1" applyFont="1" applyFill="1" applyBorder="1"/>
    <xf numFmtId="173" fontId="36" fillId="4" borderId="1" xfId="0" applyNumberFormat="1" applyFont="1" applyFill="1" applyBorder="1"/>
    <xf numFmtId="0" fontId="36" fillId="4" borderId="1" xfId="0" applyFont="1" applyFill="1" applyBorder="1" applyAlignment="1">
      <alignment horizontal="center"/>
    </xf>
    <xf numFmtId="0" fontId="36" fillId="3" borderId="0" xfId="0" applyFont="1" applyFill="1" applyAlignment="1">
      <alignment horizontal="center" vertical="center"/>
    </xf>
    <xf numFmtId="0" fontId="53" fillId="0" borderId="1" xfId="0" applyFont="1" applyBorder="1" applyAlignment="1">
      <alignment horizontal="center"/>
    </xf>
    <xf numFmtId="178" fontId="5" fillId="6" borderId="1" xfId="0" applyNumberFormat="1" applyFont="1" applyFill="1" applyBorder="1"/>
    <xf numFmtId="0" fontId="53" fillId="6" borderId="1" xfId="0" applyFont="1" applyFill="1" applyBorder="1" applyAlignment="1">
      <alignment horizontal="center"/>
    </xf>
    <xf numFmtId="0" fontId="54" fillId="0" borderId="1" xfId="0" applyFont="1" applyBorder="1" applyAlignment="1">
      <alignment horizontal="center"/>
    </xf>
    <xf numFmtId="0" fontId="36" fillId="11" borderId="0" xfId="0" applyFont="1" applyFill="1" applyAlignment="1">
      <alignment horizontal="center" vertical="center"/>
    </xf>
    <xf numFmtId="178" fontId="55" fillId="12" borderId="1" xfId="0" applyNumberFormat="1" applyFont="1" applyFill="1" applyBorder="1" applyAlignment="1">
      <alignment horizontal="right" vertical="center"/>
    </xf>
    <xf numFmtId="173" fontId="51" fillId="0" borderId="1" xfId="0" applyNumberFormat="1" applyFont="1" applyBorder="1"/>
    <xf numFmtId="164" fontId="55" fillId="12" borderId="1" xfId="0" applyNumberFormat="1" applyFont="1" applyFill="1" applyBorder="1" applyAlignment="1">
      <alignment horizontal="right" vertical="center"/>
    </xf>
    <xf numFmtId="0" fontId="55" fillId="12" borderId="1" xfId="0" applyFont="1" applyFill="1" applyBorder="1" applyAlignment="1">
      <alignment horizontal="right" vertical="center"/>
    </xf>
    <xf numFmtId="178" fontId="0" fillId="0" borderId="1" xfId="0" applyNumberFormat="1" applyBorder="1"/>
    <xf numFmtId="173" fontId="29" fillId="3" borderId="1" xfId="0" applyNumberFormat="1" applyFont="1" applyFill="1" applyBorder="1"/>
    <xf numFmtId="0" fontId="56" fillId="3" borderId="0" xfId="0" applyFont="1" applyFill="1" applyAlignment="1">
      <alignment horizontal="center" vertical="center"/>
    </xf>
    <xf numFmtId="1" fontId="5" fillId="0" borderId="1" xfId="0" applyNumberFormat="1" applyFont="1" applyBorder="1"/>
    <xf numFmtId="164" fontId="5" fillId="0" borderId="1" xfId="0" applyNumberFormat="1" applyFont="1" applyBorder="1"/>
    <xf numFmtId="173" fontId="5" fillId="0" borderId="1" xfId="0" applyNumberFormat="1" applyFont="1" applyBorder="1"/>
    <xf numFmtId="0" fontId="57" fillId="0" borderId="1" xfId="0" applyFont="1" applyBorder="1"/>
    <xf numFmtId="10" fontId="0" fillId="0" borderId="1" xfId="0" applyNumberFormat="1" applyBorder="1"/>
    <xf numFmtId="10" fontId="29" fillId="4" borderId="1" xfId="0" applyNumberFormat="1" applyFont="1" applyFill="1" applyBorder="1"/>
    <xf numFmtId="0" fontId="58" fillId="2" borderId="0" xfId="0" applyFont="1" applyFill="1"/>
    <xf numFmtId="0" fontId="58" fillId="3" borderId="0" xfId="0" applyFont="1" applyFill="1"/>
    <xf numFmtId="179" fontId="0" fillId="0" borderId="1" xfId="0" applyNumberFormat="1" applyBorder="1"/>
    <xf numFmtId="179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6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4" customWidth="1"/>
    <col min="4" max="4" width="30" customWidth="1"/>
    <col min="5" max="5" width="4" customWidth="1"/>
  </cols>
  <sheetData>
    <row r="2" ht="30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3" t="s">
        <v>12</v>
      </c>
      <c r="C10" s="3"/>
      <c r="D10" s="3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7" t="s">
        <v>22</v>
      </c>
      <c r="C15" s="7"/>
      <c r="D15" s="7"/>
    </row>
    <row r="16" ht="20" customHeight="1" spans="2:4" x14ac:dyDescent="0.25">
      <c r="B16" s="8" t="s">
        <v>23</v>
      </c>
      <c r="C16" s="9" t="s">
        <v>24</v>
      </c>
      <c r="D16" s="9"/>
    </row>
    <row r="17" ht="20" customHeight="1" spans="2:4" x14ac:dyDescent="0.25">
      <c r="B17" s="8" t="s">
        <v>25</v>
      </c>
      <c r="C17" s="9" t="s">
        <v>26</v>
      </c>
      <c r="D17" s="9"/>
    </row>
    <row r="18" ht="20" customHeight="1" spans="2:4" x14ac:dyDescent="0.25">
      <c r="B18" s="8" t="s">
        <v>27</v>
      </c>
      <c r="C18" s="9" t="s">
        <v>28</v>
      </c>
      <c r="D18" s="9"/>
    </row>
    <row r="19" ht="20" customHeight="1" spans="2:4" x14ac:dyDescent="0.25">
      <c r="B19" s="8" t="s">
        <v>29</v>
      </c>
      <c r="C19" s="9" t="s">
        <v>30</v>
      </c>
      <c r="D19" s="9"/>
    </row>
    <row r="20" ht="20" customHeight="1" spans="2:4" x14ac:dyDescent="0.25">
      <c r="B20" s="8" t="s">
        <v>31</v>
      </c>
      <c r="C20" s="9" t="s">
        <v>32</v>
      </c>
      <c r="D20" s="9"/>
    </row>
    <row r="21" ht="20" customHeight="1" spans="2:4" x14ac:dyDescent="0.25">
      <c r="B21" s="8" t="s">
        <v>33</v>
      </c>
      <c r="C21" s="9" t="s">
        <v>34</v>
      </c>
      <c r="D21" s="9"/>
    </row>
    <row r="22" ht="20" customHeight="1" spans="2:4" x14ac:dyDescent="0.25">
      <c r="B22" s="8" t="s">
        <v>35</v>
      </c>
      <c r="C22" s="9" t="s">
        <v>36</v>
      </c>
      <c r="D22" s="9"/>
    </row>
    <row r="23" ht="20" customHeight="1" spans="2:4" x14ac:dyDescent="0.25">
      <c r="B23" s="8" t="s">
        <v>37</v>
      </c>
      <c r="C23" s="9" t="s">
        <v>38</v>
      </c>
      <c r="D23" s="9"/>
    </row>
    <row r="24" ht="20" customHeight="1" spans="2:4" x14ac:dyDescent="0.25">
      <c r="B24" s="8" t="s">
        <v>39</v>
      </c>
      <c r="C24" s="9" t="s">
        <v>40</v>
      </c>
      <c r="D24" s="9"/>
    </row>
    <row r="26" ht="26" customHeight="1" spans="2:4" x14ac:dyDescent="0.25">
      <c r="B26" s="10" t="s">
        <v>41</v>
      </c>
      <c r="C26" s="10"/>
      <c r="D26" s="10"/>
    </row>
  </sheetData>
  <mergeCells count="15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B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32"/>
  <sheetViews>
    <sheetView workbookViewId="0"/>
  </sheetViews>
  <sheetFormatPr defaultRowHeight="15" outlineLevelRow="0" outlineLevelCol="0" x14ac:dyDescent="55"/>
  <cols>
    <col min="1" max="1" width="4" customWidth="1"/>
    <col min="2" max="2" width="32" customWidth="1"/>
    <col min="3" max="3" width="34" customWidth="1"/>
    <col min="4" max="4" width="38" customWidth="1"/>
    <col min="5" max="5" width="4" customWidth="1"/>
  </cols>
  <sheetData>
    <row r="2" ht="30" customHeight="1" spans="2:4" x14ac:dyDescent="0.25">
      <c r="B2" s="1" t="s">
        <v>42</v>
      </c>
      <c r="C2" s="1"/>
      <c r="D2" s="1"/>
    </row>
    <row r="3" ht="20" customHeight="1" spans="2:4" x14ac:dyDescent="0.25">
      <c r="B3" s="2" t="s">
        <v>43</v>
      </c>
      <c r="C3" s="2"/>
      <c r="D3" s="2"/>
    </row>
    <row r="5" ht="24" customHeight="1" spans="2:4" x14ac:dyDescent="0.25">
      <c r="B5" s="11" t="s">
        <v>44</v>
      </c>
      <c r="C5" s="11"/>
      <c r="D5" s="11"/>
    </row>
    <row r="6" ht="19" customHeight="1" spans="2:4" x14ac:dyDescent="0.25">
      <c r="B6" s="12" t="s">
        <v>45</v>
      </c>
      <c r="C6" s="12" t="s">
        <v>46</v>
      </c>
      <c r="D6" s="12" t="s">
        <v>47</v>
      </c>
    </row>
    <row r="7" ht="26" customHeight="1" spans="2:4" x14ac:dyDescent="0.25">
      <c r="B7" s="13">
        <v>30</v>
      </c>
      <c r="C7" s="14">
        <v>95000</v>
      </c>
      <c r="D7" s="14">
        <v>85000</v>
      </c>
    </row>
    <row r="9" ht="18" customHeight="1" spans="2:4" x14ac:dyDescent="0.25">
      <c r="B9" s="15" t="s">
        <v>48</v>
      </c>
      <c r="C9" s="15" t="s">
        <v>49</v>
      </c>
      <c r="D9" s="15" t="s">
        <v>50</v>
      </c>
    </row>
    <row r="10" ht="26" customHeight="1" spans="2:4" x14ac:dyDescent="0.25">
      <c r="B10" s="16">
        <f>IF(D7&gt;=2*(B7*C7/10), "PAW (Top 10% Wealth Builder)", IF(D7&gt;=(B7*C7/10), "AAW (Solid Average Accumulator)", "UAW (Under-Accumulator)"))</f>
      </c>
      <c r="C10" s="17">
        <f>(B7*C7)/10</f>
      </c>
      <c r="D10" s="18">
        <f>IF(D7&lt;100000, "$100k Club", IF(D7&lt;250000, "$250k Club", IF(D7&lt;500000, "$500k Club", "$1M Two-Comma Club")))</f>
      </c>
    </row>
    <row r="12" ht="20" customHeight="1" spans="2:4" x14ac:dyDescent="0.25">
      <c r="B12" s="19">
        <f>MAX(0, IF(D7&lt;100000, 100000-D7, IF(D7&lt;250000, 250000-D7, IF(D7&lt;500000, 500000-D7, 1000000-D7))))</f>
      </c>
      <c r="C12" s="19"/>
      <c r="D12" s="19"/>
    </row>
    <row r="15" ht="24" customHeight="1" spans="2:4" x14ac:dyDescent="0.25">
      <c r="B15" s="11" t="s">
        <v>51</v>
      </c>
      <c r="C15" s="11"/>
      <c r="D15" s="11"/>
    </row>
    <row r="16" ht="19" customHeight="1" spans="2:4" x14ac:dyDescent="0.25">
      <c r="B16" s="20" t="s">
        <v>52</v>
      </c>
      <c r="C16" s="20" t="s">
        <v>53</v>
      </c>
      <c r="D16" s="20" t="s">
        <v>54</v>
      </c>
    </row>
    <row r="17" ht="19" customHeight="1" spans="2:4" x14ac:dyDescent="0.25">
      <c r="B17" s="9" t="s">
        <v>55</v>
      </c>
      <c r="C17" s="21">
        <v>35</v>
      </c>
      <c r="D17" s="22" t="s">
        <v>56</v>
      </c>
    </row>
    <row r="18" ht="19" customHeight="1" spans="2:4" x14ac:dyDescent="0.25">
      <c r="B18" s="9" t="s">
        <v>57</v>
      </c>
      <c r="C18" s="21">
        <v>45</v>
      </c>
      <c r="D18" s="22" t="s">
        <v>58</v>
      </c>
    </row>
    <row r="19" ht="19" customHeight="1" spans="2:4" x14ac:dyDescent="0.25">
      <c r="B19" s="9" t="s">
        <v>59</v>
      </c>
      <c r="C19" s="21">
        <v>75</v>
      </c>
      <c r="D19" s="22" t="s">
        <v>60</v>
      </c>
    </row>
    <row r="20" ht="19" customHeight="1" spans="2:4" x14ac:dyDescent="0.25">
      <c r="B20" s="9" t="s">
        <v>61</v>
      </c>
      <c r="C20" s="21">
        <v>40</v>
      </c>
      <c r="D20" s="22" t="s">
        <v>62</v>
      </c>
    </row>
    <row r="21" ht="22" customHeight="1" spans="2:4" x14ac:dyDescent="0.25">
      <c r="B21" s="8" t="s">
        <v>63</v>
      </c>
      <c r="C21" s="23">
        <f>SUM(C17:C20)</f>
      </c>
      <c r="D21" s="24" t="s">
        <v>64</v>
      </c>
    </row>
    <row r="23" ht="18" customHeight="1" spans="2:4" x14ac:dyDescent="0.25">
      <c r="B23" s="25" t="s">
        <v>65</v>
      </c>
      <c r="C23" s="25"/>
      <c r="D23" s="26" t="s">
        <v>66</v>
      </c>
    </row>
    <row r="24" ht="26" customHeight="1" spans="2:4" x14ac:dyDescent="0.25">
      <c r="B24" s="27">
        <f>C21*12</f>
      </c>
      <c r="C24" s="27"/>
      <c r="D24" s="28">
        <f>C21*182.946</f>
      </c>
    </row>
    <row r="27" ht="24" customHeight="1" spans="2:4" x14ac:dyDescent="0.25">
      <c r="B27" s="11" t="s">
        <v>67</v>
      </c>
      <c r="C27" s="11"/>
      <c r="D27" s="11"/>
    </row>
    <row r="28" ht="19" customHeight="1" spans="2:4" x14ac:dyDescent="0.25">
      <c r="B28" s="20" t="s">
        <v>68</v>
      </c>
      <c r="C28" s="20" t="s">
        <v>69</v>
      </c>
      <c r="D28" s="20" t="s">
        <v>70</v>
      </c>
    </row>
    <row r="29" ht="24" customHeight="1" spans="2:4" x14ac:dyDescent="0.25">
      <c r="B29" s="29">
        <f>C7/2080</f>
      </c>
      <c r="C29" s="30">
        <v>1200</v>
      </c>
      <c r="D29" s="31">
        <f>C29/B29</f>
      </c>
    </row>
    <row r="32" ht="30" customHeight="1" spans="2:4" x14ac:dyDescent="0.25">
      <c r="B32" s="32" t="s">
        <v>71</v>
      </c>
      <c r="C32" s="32"/>
      <c r="D32" s="32"/>
    </row>
  </sheetData>
  <mergeCells count="9">
    <mergeCell ref="B2:D2"/>
    <mergeCell ref="B3:D3"/>
    <mergeCell ref="B5:D5"/>
    <mergeCell ref="B12:D12"/>
    <mergeCell ref="B15:D15"/>
    <mergeCell ref="B23:C23"/>
    <mergeCell ref="B24:C24"/>
    <mergeCell ref="B27:D27"/>
    <mergeCell ref="B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20" customWidth="1"/>
    <col min="11" max="11" width="16" customWidth="1"/>
    <col min="12" max="12" width="4" customWidth="1"/>
  </cols>
  <sheetData>
    <row r="2" ht="28" customHeight="1" spans="2:11" x14ac:dyDescent="0.25">
      <c r="B2" s="1" t="s">
        <v>72</v>
      </c>
      <c r="C2" s="1"/>
      <c r="D2" s="1"/>
      <c r="E2" s="1"/>
      <c r="F2" s="1"/>
      <c r="G2" s="1"/>
      <c r="H2" s="1"/>
      <c r="I2" s="1"/>
      <c r="J2" s="1"/>
      <c r="K2" s="1"/>
    </row>
    <row r="3" ht="20" customHeight="1" spans="2:11" x14ac:dyDescent="0.25">
      <c r="B3" s="33" t="s">
        <v>73</v>
      </c>
      <c r="C3" s="33"/>
      <c r="D3" s="33"/>
      <c r="E3" s="33"/>
      <c r="F3" s="33"/>
      <c r="G3" s="33"/>
      <c r="H3" s="33"/>
      <c r="I3" s="33"/>
      <c r="J3" s="33"/>
      <c r="K3" s="33"/>
    </row>
    <row r="5" ht="24" customHeight="1" spans="2:11" x14ac:dyDescent="0.25">
      <c r="B5" s="34" t="s">
        <v>74</v>
      </c>
      <c r="C5" s="35" t="s">
        <v>75</v>
      </c>
      <c r="D5" s="35" t="s">
        <v>76</v>
      </c>
      <c r="E5" s="35" t="s">
        <v>77</v>
      </c>
      <c r="F5" s="35" t="s">
        <v>78</v>
      </c>
      <c r="G5" s="34" t="s">
        <v>79</v>
      </c>
      <c r="H5" s="34" t="s">
        <v>80</v>
      </c>
      <c r="I5" s="34" t="s">
        <v>81</v>
      </c>
      <c r="J5" s="34" t="s">
        <v>82</v>
      </c>
      <c r="K5" s="34" t="s">
        <v>83</v>
      </c>
    </row>
    <row r="6" ht="20" customHeight="1" spans="2:11" x14ac:dyDescent="0.25">
      <c r="B6" s="36" t="s">
        <v>84</v>
      </c>
      <c r="C6" s="37">
        <v>25000</v>
      </c>
      <c r="D6" s="37">
        <v>185000</v>
      </c>
      <c r="E6" s="37">
        <v>350000</v>
      </c>
      <c r="F6" s="37">
        <v>245000</v>
      </c>
      <c r="G6" s="38">
        <f>(C6+D6+E6)-F6</f>
      </c>
      <c r="H6" s="39">
        <v>0</v>
      </c>
      <c r="I6" s="40">
        <v>0</v>
      </c>
      <c r="J6" s="41">
        <f>C6+D6</f>
      </c>
      <c r="K6" s="42">
        <f>(C6+D6)/G6</f>
      </c>
    </row>
    <row r="7" ht="20" customHeight="1" spans="2:11" x14ac:dyDescent="0.25">
      <c r="B7" s="43" t="s">
        <v>85</v>
      </c>
      <c r="C7" s="44">
        <v>26200</v>
      </c>
      <c r="D7" s="44">
        <v>189500</v>
      </c>
      <c r="E7" s="44">
        <v>350000</v>
      </c>
      <c r="F7" s="44">
        <v>243800</v>
      </c>
      <c r="G7" s="38">
        <f>(C7+D7+E7)-F7</f>
      </c>
      <c r="H7" s="45">
        <f>G7-G6</f>
      </c>
      <c r="I7" s="46">
        <f>(G7-G6)/G6</f>
      </c>
      <c r="J7" s="41">
        <f>C7+D7</f>
      </c>
      <c r="K7" s="47">
        <f>(C7+D7)/G7</f>
      </c>
    </row>
    <row r="8" ht="20" customHeight="1" spans="2:11" x14ac:dyDescent="0.25">
      <c r="B8" s="36" t="s">
        <v>86</v>
      </c>
      <c r="C8" s="37">
        <v>25800</v>
      </c>
      <c r="D8" s="37">
        <v>194200</v>
      </c>
      <c r="E8" s="37">
        <v>350000</v>
      </c>
      <c r="F8" s="37">
        <v>242600</v>
      </c>
      <c r="G8" s="38">
        <f>(C8+D8+E8)-F8</f>
      </c>
      <c r="H8" s="39">
        <f>G8-G7</f>
      </c>
      <c r="I8" s="40">
        <f>(G8-G7)/G7</f>
      </c>
      <c r="J8" s="41">
        <f>C8+D8</f>
      </c>
      <c r="K8" s="42">
        <f>(C8+D8)/G8</f>
      </c>
    </row>
    <row r="9" ht="20" customHeight="1" spans="2:11" x14ac:dyDescent="0.25">
      <c r="B9" s="43" t="s">
        <v>87</v>
      </c>
      <c r="C9" s="44">
        <v>27100</v>
      </c>
      <c r="D9" s="44">
        <v>191000</v>
      </c>
      <c r="E9" s="44">
        <v>350000</v>
      </c>
      <c r="F9" s="44">
        <v>241400</v>
      </c>
      <c r="G9" s="38">
        <f>(C9+D9+E9)-F9</f>
      </c>
      <c r="H9" s="45">
        <f>G9-G8</f>
      </c>
      <c r="I9" s="46">
        <f>(G9-G8)/G8</f>
      </c>
      <c r="J9" s="41">
        <f>C9+D9</f>
      </c>
      <c r="K9" s="47">
        <f>(C9+D9)/G9</f>
      </c>
    </row>
    <row r="10" ht="20" customHeight="1" spans="2:11" x14ac:dyDescent="0.25">
      <c r="B10" s="36" t="s">
        <v>88</v>
      </c>
      <c r="C10" s="37">
        <v>26900</v>
      </c>
      <c r="D10" s="37">
        <v>198500</v>
      </c>
      <c r="E10" s="37">
        <v>352000</v>
      </c>
      <c r="F10" s="37">
        <v>240100</v>
      </c>
      <c r="G10" s="38">
        <f>(C10+D10+E10)-F10</f>
      </c>
      <c r="H10" s="39">
        <f>G10-G9</f>
      </c>
      <c r="I10" s="40">
        <f>(G10-G9)/G9</f>
      </c>
      <c r="J10" s="41">
        <f>C10+D10</f>
      </c>
      <c r="K10" s="42">
        <f>(C10+D10)/G10</f>
      </c>
    </row>
    <row r="11" ht="20" customHeight="1" spans="2:11" x14ac:dyDescent="0.25">
      <c r="B11" s="43" t="s">
        <v>89</v>
      </c>
      <c r="C11" s="44">
        <v>28400</v>
      </c>
      <c r="D11" s="44">
        <v>204000</v>
      </c>
      <c r="E11" s="44">
        <v>352000</v>
      </c>
      <c r="F11" s="44">
        <v>238800</v>
      </c>
      <c r="G11" s="38">
        <f>(C11+D11+E11)-F11</f>
      </c>
      <c r="H11" s="45">
        <f>G11-G10</f>
      </c>
      <c r="I11" s="46">
        <f>(G11-G10)/G10</f>
      </c>
      <c r="J11" s="41">
        <f>C11+D11</f>
      </c>
      <c r="K11" s="47">
        <f>(C11+D11)/G11</f>
      </c>
    </row>
    <row r="12" ht="20" customHeight="1" spans="2:11" x14ac:dyDescent="0.25">
      <c r="B12" s="36" t="s">
        <v>90</v>
      </c>
      <c r="C12" s="37">
        <v>29000</v>
      </c>
      <c r="D12" s="37">
        <v>209500</v>
      </c>
      <c r="E12" s="37">
        <v>352000</v>
      </c>
      <c r="F12" s="37">
        <v>237500</v>
      </c>
      <c r="G12" s="38">
        <f>(C12+D12+E12)-F12</f>
      </c>
      <c r="H12" s="39">
        <f>G12-G11</f>
      </c>
      <c r="I12" s="40">
        <f>(G12-G11)/G11</f>
      </c>
      <c r="J12" s="41">
        <f>C12+D12</f>
      </c>
      <c r="K12" s="42">
        <f>(C12+D12)/G12</f>
      </c>
    </row>
    <row r="13" ht="20" customHeight="1" spans="2:11" x14ac:dyDescent="0.25">
      <c r="B13" s="43" t="s">
        <v>91</v>
      </c>
      <c r="C13" s="44">
        <v>28500</v>
      </c>
      <c r="D13" s="44">
        <v>215000</v>
      </c>
      <c r="E13" s="44">
        <v>355000</v>
      </c>
      <c r="F13" s="44">
        <v>236100</v>
      </c>
      <c r="G13" s="38">
        <f>(C13+D13+E13)-F13</f>
      </c>
      <c r="H13" s="45">
        <f>G13-G12</f>
      </c>
      <c r="I13" s="46">
        <f>(G13-G12)/G12</f>
      </c>
      <c r="J13" s="41">
        <f>C13+D13</f>
      </c>
      <c r="K13" s="47">
        <f>(C13+D13)/G13</f>
      </c>
    </row>
    <row r="14" ht="20" customHeight="1" spans="2:11" x14ac:dyDescent="0.25">
      <c r="B14" s="36" t="s">
        <v>92</v>
      </c>
      <c r="C14" s="37">
        <v>30200</v>
      </c>
      <c r="D14" s="37">
        <v>221000</v>
      </c>
      <c r="E14" s="37">
        <v>355000</v>
      </c>
      <c r="F14" s="37">
        <v>234700</v>
      </c>
      <c r="G14" s="38">
        <f>(C14+D14+E14)-F14</f>
      </c>
      <c r="H14" s="39">
        <f>G14-G13</f>
      </c>
      <c r="I14" s="40">
        <f>(G14-G13)/G13</f>
      </c>
      <c r="J14" s="41">
        <f>C14+D14</f>
      </c>
      <c r="K14" s="42">
        <f>(C14+D14)/G14</f>
      </c>
    </row>
    <row r="15" ht="20" customHeight="1" spans="2:11" x14ac:dyDescent="0.25">
      <c r="B15" s="43" t="s">
        <v>93</v>
      </c>
      <c r="C15" s="44">
        <v>31000</v>
      </c>
      <c r="D15" s="44">
        <v>228000</v>
      </c>
      <c r="E15" s="44">
        <v>355000</v>
      </c>
      <c r="F15" s="44">
        <v>233200</v>
      </c>
      <c r="G15" s="38">
        <f>(C15+D15+E15)-F15</f>
      </c>
      <c r="H15" s="45">
        <f>G15-G14</f>
      </c>
      <c r="I15" s="46">
        <f>(G15-G14)/G14</f>
      </c>
      <c r="J15" s="41">
        <f>C15+D15</f>
      </c>
      <c r="K15" s="47">
        <f>(C15+D15)/G15</f>
      </c>
    </row>
    <row r="16" ht="20" customHeight="1" spans="2:11" x14ac:dyDescent="0.25">
      <c r="B16" s="36" t="s">
        <v>94</v>
      </c>
      <c r="C16" s="37">
        <v>31500</v>
      </c>
      <c r="D16" s="37">
        <v>234500</v>
      </c>
      <c r="E16" s="37">
        <v>358000</v>
      </c>
      <c r="F16" s="37">
        <v>231700</v>
      </c>
      <c r="G16" s="38">
        <f>(C16+D16+E16)-F16</f>
      </c>
      <c r="H16" s="39">
        <f>G16-G15</f>
      </c>
      <c r="I16" s="40">
        <f>(G16-G15)/G15</f>
      </c>
      <c r="J16" s="41">
        <f>C16+D16</f>
      </c>
      <c r="K16" s="42">
        <f>(C16+D16)/G16</f>
      </c>
    </row>
    <row r="17" ht="20" customHeight="1" spans="2:11" x14ac:dyDescent="0.25">
      <c r="B17" s="43" t="s">
        <v>95</v>
      </c>
      <c r="C17" s="44">
        <v>33000</v>
      </c>
      <c r="D17" s="44">
        <v>242000</v>
      </c>
      <c r="E17" s="44">
        <v>358000</v>
      </c>
      <c r="F17" s="44">
        <v>230100</v>
      </c>
      <c r="G17" s="38">
        <f>(C17+D17+E17)-F17</f>
      </c>
      <c r="H17" s="45">
        <f>G17-G16</f>
      </c>
      <c r="I17" s="46">
        <f>(G17-G16)/G16</f>
      </c>
      <c r="J17" s="41">
        <f>C17+D17</f>
      </c>
      <c r="K17" s="47">
        <f>(C17+D17)/G17</f>
      </c>
    </row>
    <row r="18" ht="22" customHeight="1" spans="2:11" x14ac:dyDescent="0.25">
      <c r="B18" s="48" t="s">
        <v>96</v>
      </c>
      <c r="C18" s="49">
        <f>C17</f>
      </c>
      <c r="D18" s="49">
        <f>D17</f>
      </c>
      <c r="E18" s="49">
        <f>E17</f>
      </c>
      <c r="F18" s="49">
        <f>F17</f>
      </c>
      <c r="G18" s="49">
        <f>G17</f>
      </c>
      <c r="H18" s="49">
        <f>G17-G6</f>
      </c>
      <c r="I18" s="50">
        <f>(G17-G6)/G6</f>
      </c>
      <c r="J18" s="49">
        <f>C17+D17</f>
      </c>
      <c r="K18" s="50">
        <f>(C17+D17)/G17</f>
      </c>
    </row>
  </sheetData>
  <mergeCells count="2">
    <mergeCell ref="B2:K2"/>
    <mergeCell ref="B3:K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7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51" t="s">
        <v>97</v>
      </c>
      <c r="C2" s="51"/>
      <c r="D2" s="51"/>
      <c r="E2" s="51"/>
      <c r="F2" s="51"/>
    </row>
    <row r="3" ht="18" customHeight="1" spans="2:6" x14ac:dyDescent="0.25">
      <c r="B3" s="52" t="s">
        <v>98</v>
      </c>
      <c r="C3" s="52"/>
      <c r="D3" s="52"/>
      <c r="E3" s="52"/>
      <c r="F3" s="52"/>
    </row>
    <row r="5" ht="18" customHeight="1" spans="2:6" x14ac:dyDescent="0.25">
      <c r="B5" s="53" t="s">
        <v>99</v>
      </c>
      <c r="C5" s="53"/>
      <c r="D5" s="53" t="s">
        <v>100</v>
      </c>
      <c r="E5" s="53"/>
      <c r="F5" s="53" t="s">
        <v>101</v>
      </c>
    </row>
    <row r="6" ht="28" customHeight="1" spans="2:6" x14ac:dyDescent="0.25">
      <c r="B6" s="54">
        <f>'2-Min Check-In'!G18</f>
      </c>
      <c r="C6" s="54"/>
      <c r="D6" s="55">
        <f>'2-Min Check-In'!C18+'2-Min Check-In'!D18</f>
      </c>
      <c r="E6" s="55"/>
      <c r="F6" s="56" t="s">
        <v>102</v>
      </c>
    </row>
    <row r="7" ht="16" customHeight="1" spans="2:6" x14ac:dyDescent="0.25">
      <c r="B7" s="57">
        <f>'2-Min Check-In'!H18</f>
      </c>
      <c r="C7" s="57"/>
      <c r="D7" s="58">
        <f>('2-Min Check-In'!C18+'2-Min Check-In'!D18)/('2-Min Check-In'!G18+'2-Min Check-In'!F18)</f>
      </c>
      <c r="E7" s="58"/>
      <c r="F7" s="59" t="s">
        <v>103</v>
      </c>
    </row>
    <row r="9" ht="24" customHeight="1" spans="2:6" x14ac:dyDescent="0.25">
      <c r="B9" s="60" t="s">
        <v>104</v>
      </c>
      <c r="C9" s="60"/>
      <c r="D9" s="60"/>
      <c r="E9" s="60"/>
      <c r="F9" s="60"/>
    </row>
    <row r="10" ht="20" customHeight="1" spans="2:6" x14ac:dyDescent="0.25">
      <c r="B10" s="61" t="s">
        <v>105</v>
      </c>
      <c r="C10" s="61" t="s">
        <v>106</v>
      </c>
      <c r="D10" s="61" t="s">
        <v>107</v>
      </c>
      <c r="E10" s="61" t="s">
        <v>108</v>
      </c>
      <c r="F10" s="61" t="s">
        <v>109</v>
      </c>
    </row>
    <row r="11" ht="20" customHeight="1" spans="2:6" x14ac:dyDescent="0.25">
      <c r="B11" s="6" t="s">
        <v>110</v>
      </c>
      <c r="C11" s="37">
        <f>'2-Min Check-In'!G6</f>
      </c>
      <c r="D11" s="37">
        <f>'2-Min Check-In'!D6</f>
      </c>
      <c r="E11" s="37">
        <f>'2-Min Check-In'!F6</f>
      </c>
      <c r="F11" s="6" t="s">
        <v>111</v>
      </c>
    </row>
    <row r="12" ht="20" customHeight="1" spans="2:6" x14ac:dyDescent="0.25">
      <c r="B12" s="62" t="s">
        <v>112</v>
      </c>
      <c r="C12" s="44">
        <f>'2-Min Check-In'!G9</f>
      </c>
      <c r="D12" s="44">
        <f>'2-Min Check-In'!D9</f>
      </c>
      <c r="E12" s="44">
        <f>'2-Min Check-In'!F9</f>
      </c>
      <c r="F12" s="62" t="s">
        <v>113</v>
      </c>
    </row>
    <row r="13" ht="20" customHeight="1" spans="2:6" x14ac:dyDescent="0.25">
      <c r="B13" s="6" t="s">
        <v>114</v>
      </c>
      <c r="C13" s="37">
        <f>'2-Min Check-In'!G12</f>
      </c>
      <c r="D13" s="37">
        <f>'2-Min Check-In'!D12</f>
      </c>
      <c r="E13" s="37">
        <f>'2-Min Check-In'!F12</f>
      </c>
      <c r="F13" s="6" t="s">
        <v>115</v>
      </c>
    </row>
    <row r="14" ht="20" customHeight="1" spans="2:6" x14ac:dyDescent="0.25">
      <c r="B14" s="62" t="s">
        <v>116</v>
      </c>
      <c r="C14" s="44">
        <f>'2-Min Check-In'!G15</f>
      </c>
      <c r="D14" s="44">
        <f>'2-Min Check-In'!D15</f>
      </c>
      <c r="E14" s="44">
        <f>'2-Min Check-In'!F15</f>
      </c>
      <c r="F14" s="62" t="s">
        <v>117</v>
      </c>
    </row>
    <row r="15" ht="20" customHeight="1" spans="2:6" x14ac:dyDescent="0.25">
      <c r="B15" s="6" t="s">
        <v>118</v>
      </c>
      <c r="C15" s="37">
        <f>'2-Min Check-In'!G17</f>
      </c>
      <c r="D15" s="37">
        <f>'2-Min Check-In'!D17</f>
      </c>
      <c r="E15" s="37">
        <f>'2-Min Check-In'!F17</f>
      </c>
      <c r="F15" s="6" t="s">
        <v>119</v>
      </c>
    </row>
    <row r="18" ht="24" customHeight="1" spans="2:6" x14ac:dyDescent="0.25">
      <c r="B18" s="60" t="s">
        <v>120</v>
      </c>
      <c r="C18" s="60"/>
      <c r="D18" s="60"/>
      <c r="E18" s="60"/>
      <c r="F18" s="60"/>
    </row>
    <row r="19" ht="20" customHeight="1" spans="2:6" x14ac:dyDescent="0.25">
      <c r="B19" s="63" t="s">
        <v>121</v>
      </c>
      <c r="C19" s="63" t="s">
        <v>122</v>
      </c>
      <c r="D19" s="63" t="s">
        <v>123</v>
      </c>
      <c r="E19" s="63" t="s">
        <v>124</v>
      </c>
      <c r="F19" s="63"/>
    </row>
    <row r="20" ht="24" customHeight="1" spans="2:6" x14ac:dyDescent="0.25">
      <c r="B20" s="64" t="s">
        <v>125</v>
      </c>
      <c r="C20" s="64" t="s">
        <v>126</v>
      </c>
      <c r="D20" s="64" t="s">
        <v>127</v>
      </c>
      <c r="E20" s="64" t="s">
        <v>128</v>
      </c>
      <c r="F20" s="64"/>
    </row>
    <row r="22" ht="24" customHeight="1" spans="2:6" x14ac:dyDescent="0.25">
      <c r="B22" s="65" t="s">
        <v>129</v>
      </c>
      <c r="C22" s="65"/>
      <c r="D22" s="65"/>
      <c r="E22" s="65"/>
      <c r="F22" s="65"/>
    </row>
    <row r="23" ht="18" customHeight="1" spans="2:6" x14ac:dyDescent="0.25">
      <c r="B23" s="66" t="s">
        <v>130</v>
      </c>
      <c r="C23" s="66" t="s">
        <v>131</v>
      </c>
      <c r="D23" s="66" t="s">
        <v>132</v>
      </c>
      <c r="E23" s="66" t="s">
        <v>133</v>
      </c>
      <c r="F23" s="66" t="s">
        <v>134</v>
      </c>
    </row>
    <row r="24" ht="24" customHeight="1" spans="2:6" x14ac:dyDescent="0.25">
      <c r="B24" s="67">
        <v>32</v>
      </c>
      <c r="C24" s="68">
        <v>108000</v>
      </c>
      <c r="D24" s="17">
        <f>(B24*C24)/10</f>
      </c>
      <c r="E24" s="69">
        <f>'2-Min Check-In'!G18/D24</f>
      </c>
      <c r="F24" s="70">
        <f>IF('2-Min Check-In'!G18&gt;=2*D24, "PAW (Top 10% Accumulator)", IF('2-Min Check-In'!G18&gt;=D24, "AAW (Solid Average)", "UAW (Under Accumulator)"))</f>
      </c>
    </row>
    <row r="26" ht="24" customHeight="1" spans="2:6" x14ac:dyDescent="0.25">
      <c r="B26" s="71" t="s">
        <v>135</v>
      </c>
      <c r="C26" s="71"/>
      <c r="D26" s="71"/>
      <c r="E26" s="71"/>
      <c r="F26" s="71"/>
    </row>
    <row r="27" ht="18" customHeight="1" spans="2:6" x14ac:dyDescent="0.25">
      <c r="B27" s="66" t="s">
        <v>136</v>
      </c>
      <c r="C27" s="66" t="s">
        <v>137</v>
      </c>
      <c r="D27" s="66" t="s">
        <v>138</v>
      </c>
      <c r="E27" s="66" t="s">
        <v>139</v>
      </c>
      <c r="F27" s="66" t="s">
        <v>140</v>
      </c>
    </row>
    <row r="28" ht="19" customHeight="1" spans="2:6" x14ac:dyDescent="0.25">
      <c r="B28" s="8" t="s">
        <v>141</v>
      </c>
      <c r="C28" s="72">
        <v>100000</v>
      </c>
      <c r="D28" s="73">
        <f>MIN(1, '2-Min Check-In'!G18/C28)</f>
      </c>
      <c r="E28" s="72">
        <f>MAX(0, C28-'2-Min Check-In'!G18)</f>
      </c>
      <c r="F28" s="74" t="s">
        <v>142</v>
      </c>
    </row>
    <row r="29" ht="19" customHeight="1" spans="2:6" x14ac:dyDescent="0.25">
      <c r="B29" s="75" t="s">
        <v>143</v>
      </c>
      <c r="C29" s="76">
        <v>250000</v>
      </c>
      <c r="D29" s="77">
        <f>MIN(1, '2-Min Check-In'!G18/C29)</f>
      </c>
      <c r="E29" s="76">
        <f>MAX(0, C29-'2-Min Check-In'!G18)</f>
      </c>
      <c r="F29" s="78" t="s">
        <v>144</v>
      </c>
    </row>
    <row r="30" ht="19" customHeight="1" spans="2:6" x14ac:dyDescent="0.25">
      <c r="B30" s="8" t="s">
        <v>145</v>
      </c>
      <c r="C30" s="72">
        <v>500000</v>
      </c>
      <c r="D30" s="73">
        <f>MIN(1, '2-Min Check-In'!G18/C30)</f>
      </c>
      <c r="E30" s="72">
        <f>MAX(0, C30-'2-Min Check-In'!G18)</f>
      </c>
      <c r="F30" s="74" t="s">
        <v>146</v>
      </c>
    </row>
    <row r="31" ht="19" customHeight="1" spans="2:6" x14ac:dyDescent="0.25">
      <c r="B31" s="75" t="s">
        <v>147</v>
      </c>
      <c r="C31" s="76">
        <v>1000000</v>
      </c>
      <c r="D31" s="77">
        <f>MIN(1, '2-Min Check-In'!G18/C31)</f>
      </c>
      <c r="E31" s="76">
        <f>MAX(0, C31-'2-Min Check-In'!G18)</f>
      </c>
      <c r="F31" s="78" t="s">
        <v>148</v>
      </c>
    </row>
    <row r="33" ht="24" customHeight="1" spans="2:6" x14ac:dyDescent="0.25">
      <c r="B33" s="65" t="s">
        <v>149</v>
      </c>
      <c r="C33" s="65"/>
      <c r="D33" s="65"/>
      <c r="E33" s="65"/>
      <c r="F33" s="65"/>
    </row>
    <row r="34" ht="18" customHeight="1" spans="2:6" x14ac:dyDescent="0.25">
      <c r="B34" s="66" t="s">
        <v>150</v>
      </c>
      <c r="C34" s="66" t="s">
        <v>151</v>
      </c>
      <c r="D34" s="66" t="s">
        <v>152</v>
      </c>
      <c r="E34" s="66" t="s">
        <v>153</v>
      </c>
      <c r="F34" s="66" t="s">
        <v>154</v>
      </c>
    </row>
    <row r="35" ht="24" customHeight="1" spans="2:6" x14ac:dyDescent="0.25">
      <c r="B35" s="79">
        <f>'2-Min Check-In'!C18+'2-Min Check-In'!D18</f>
      </c>
      <c r="C35" s="79">
        <f>'Smart Budget (50-30-20)'!C20</f>
      </c>
      <c r="D35" s="80">
        <f>B35/C35</f>
      </c>
      <c r="E35" s="81">
        <f>B35/'2-Min Check-In'!G18</f>
      </c>
      <c r="F35" s="82" t="s">
        <v>155</v>
      </c>
    </row>
    <row r="37" ht="22" customHeight="1" spans="2:6" x14ac:dyDescent="0.25">
      <c r="B37" s="83" t="s">
        <v>156</v>
      </c>
      <c r="C37" s="83"/>
      <c r="D37" s="83"/>
      <c r="E37" s="83"/>
      <c r="F37" s="83"/>
    </row>
  </sheetData>
  <mergeCells count="16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  <mergeCell ref="B22:F22"/>
    <mergeCell ref="B26:F26"/>
    <mergeCell ref="B33:F33"/>
    <mergeCell ref="B37:F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51" t="s">
        <v>157</v>
      </c>
      <c r="C2" s="51"/>
      <c r="D2" s="51"/>
      <c r="E2" s="51"/>
      <c r="F2" s="51"/>
    </row>
    <row r="3" ht="18" customHeight="1" spans="2:6" x14ac:dyDescent="0.25">
      <c r="B3" s="52" t="s">
        <v>158</v>
      </c>
      <c r="C3" s="52"/>
      <c r="D3" s="52"/>
      <c r="E3" s="52"/>
      <c r="F3" s="52"/>
    </row>
    <row r="5" spans="2:6" x14ac:dyDescent="0.25">
      <c r="B5" s="84" t="s">
        <v>159</v>
      </c>
      <c r="C5" s="84"/>
      <c r="D5" s="84"/>
      <c r="E5" s="53" t="s">
        <v>160</v>
      </c>
      <c r="F5" s="53"/>
    </row>
    <row r="6" spans="2:6" x14ac:dyDescent="0.25">
      <c r="B6" s="85">
        <f>E24</f>
      </c>
      <c r="C6" s="85"/>
      <c r="D6" s="85"/>
      <c r="E6" s="86">
        <f>E24/30</f>
      </c>
      <c r="F6" s="86"/>
    </row>
    <row r="8" ht="22" customHeight="1" spans="2:6" x14ac:dyDescent="0.25">
      <c r="B8" s="87" t="s">
        <v>161</v>
      </c>
      <c r="C8" s="87" t="s">
        <v>162</v>
      </c>
      <c r="D8" s="87" t="s">
        <v>163</v>
      </c>
      <c r="E8" s="87" t="s">
        <v>164</v>
      </c>
      <c r="F8" s="87" t="s">
        <v>165</v>
      </c>
    </row>
    <row r="9" ht="20" customHeight="1" spans="2:6" x14ac:dyDescent="0.25">
      <c r="B9" s="88" t="s">
        <v>166</v>
      </c>
      <c r="C9" s="88"/>
      <c r="D9" s="88"/>
      <c r="E9" s="88"/>
      <c r="F9" s="88"/>
    </row>
    <row r="10" ht="19" customHeight="1" spans="2:6" x14ac:dyDescent="0.25">
      <c r="B10" s="6" t="s">
        <v>167</v>
      </c>
      <c r="C10" s="37">
        <v>6800</v>
      </c>
      <c r="D10" s="37">
        <v>6800</v>
      </c>
      <c r="E10" s="37">
        <f>D10-C10</f>
      </c>
      <c r="F10" s="6" t="s">
        <v>168</v>
      </c>
    </row>
    <row r="11" ht="19" customHeight="1" spans="2:6" x14ac:dyDescent="0.25">
      <c r="B11" s="6" t="s">
        <v>169</v>
      </c>
      <c r="C11" s="37">
        <v>2200</v>
      </c>
      <c r="D11" s="37">
        <v>2200</v>
      </c>
      <c r="E11" s="37">
        <f>D11-C11</f>
      </c>
      <c r="F11" s="6" t="s">
        <v>168</v>
      </c>
    </row>
    <row r="12" ht="19" customHeight="1" spans="2:6" x14ac:dyDescent="0.25">
      <c r="B12" s="6" t="s">
        <v>170</v>
      </c>
      <c r="C12" s="37">
        <v>500</v>
      </c>
      <c r="D12" s="37">
        <v>650</v>
      </c>
      <c r="E12" s="37">
        <f>D12-C12</f>
      </c>
      <c r="F12" s="6" t="s">
        <v>168</v>
      </c>
    </row>
    <row r="13" ht="20" customHeight="1" spans="2:6" x14ac:dyDescent="0.25">
      <c r="B13" s="89" t="s">
        <v>171</v>
      </c>
      <c r="C13" s="90">
        <f>SUM(C10:C12)</f>
      </c>
      <c r="D13" s="90">
        <f>SUM(D10:D12)</f>
      </c>
      <c r="E13" s="90">
        <f>D13-C13</f>
      </c>
      <c r="F13" s="89" t="s">
        <v>172</v>
      </c>
    </row>
    <row r="14" ht="20" customHeight="1" spans="2:6" x14ac:dyDescent="0.25">
      <c r="B14" s="91" t="s">
        <v>173</v>
      </c>
      <c r="C14" s="91"/>
      <c r="D14" s="91"/>
      <c r="E14" s="91"/>
      <c r="F14" s="91"/>
    </row>
    <row r="15" ht="19" customHeight="1" spans="2:6" x14ac:dyDescent="0.25">
      <c r="B15" s="6" t="s">
        <v>174</v>
      </c>
      <c r="C15" s="37">
        <v>2400</v>
      </c>
      <c r="D15" s="37">
        <v>2400</v>
      </c>
      <c r="E15" s="37">
        <f>C15-D15</f>
      </c>
      <c r="F15" s="42">
        <f>D15/$D$13</f>
      </c>
    </row>
    <row r="16" ht="19" customHeight="1" spans="2:6" x14ac:dyDescent="0.25">
      <c r="B16" s="6" t="s">
        <v>175</v>
      </c>
      <c r="C16" s="37">
        <v>750</v>
      </c>
      <c r="D16" s="37">
        <v>820</v>
      </c>
      <c r="E16" s="37">
        <f>C16-D16</f>
      </c>
      <c r="F16" s="42">
        <f>D16/$D$13</f>
      </c>
    </row>
    <row r="17" ht="19" customHeight="1" spans="2:6" x14ac:dyDescent="0.25">
      <c r="B17" s="6" t="s">
        <v>176</v>
      </c>
      <c r="C17" s="37">
        <v>320</v>
      </c>
      <c r="D17" s="37">
        <v>310</v>
      </c>
      <c r="E17" s="37">
        <f>C17-D17</f>
      </c>
      <c r="F17" s="42">
        <f>D17/$D$13</f>
      </c>
    </row>
    <row r="18" ht="19" customHeight="1" spans="2:6" x14ac:dyDescent="0.25">
      <c r="B18" s="6" t="s">
        <v>177</v>
      </c>
      <c r="C18" s="37">
        <v>450</v>
      </c>
      <c r="D18" s="37">
        <v>450</v>
      </c>
      <c r="E18" s="37">
        <f>C18-D18</f>
      </c>
      <c r="F18" s="42">
        <f>D18/$D$13</f>
      </c>
    </row>
    <row r="19" ht="19" customHeight="1" spans="2:6" x14ac:dyDescent="0.25">
      <c r="B19" s="6" t="s">
        <v>178</v>
      </c>
      <c r="C19" s="37">
        <v>400</v>
      </c>
      <c r="D19" s="37">
        <v>380</v>
      </c>
      <c r="E19" s="37">
        <f>C19-D19</f>
      </c>
      <c r="F19" s="42">
        <f>D19/$D$13</f>
      </c>
    </row>
    <row r="20" ht="20" customHeight="1" spans="2:6" x14ac:dyDescent="0.25">
      <c r="B20" s="92" t="s">
        <v>179</v>
      </c>
      <c r="C20" s="93">
        <f>SUM(C15:C19)</f>
      </c>
      <c r="D20" s="93">
        <f>SUM(D15:D19)</f>
      </c>
      <c r="E20" s="93">
        <f>C20-D20</f>
      </c>
      <c r="F20" s="94">
        <f>D20/D13</f>
      </c>
    </row>
    <row r="21" ht="20" customHeight="1" spans="2:6" x14ac:dyDescent="0.25">
      <c r="B21" s="95" t="s">
        <v>180</v>
      </c>
      <c r="C21" s="95"/>
      <c r="D21" s="95"/>
      <c r="E21" s="95"/>
      <c r="F21" s="95"/>
    </row>
    <row r="22" ht="19" customHeight="1" spans="2:6" x14ac:dyDescent="0.25">
      <c r="B22" s="6" t="s">
        <v>181</v>
      </c>
      <c r="C22" s="37">
        <v>650</v>
      </c>
      <c r="D22" s="37">
        <v>520</v>
      </c>
      <c r="E22" s="37">
        <f>C22-D22</f>
      </c>
      <c r="F22" s="42">
        <f>D22/$D$13</f>
      </c>
    </row>
    <row r="23" ht="19" customHeight="1" spans="2:6" x14ac:dyDescent="0.25">
      <c r="B23" s="6" t="s">
        <v>182</v>
      </c>
      <c r="C23" s="37">
        <v>120</v>
      </c>
      <c r="D23" s="37">
        <v>115</v>
      </c>
      <c r="E23" s="37">
        <f>C23-D23</f>
      </c>
      <c r="F23" s="42">
        <f>D23/$D$13</f>
      </c>
    </row>
    <row r="24" ht="19" customHeight="1" spans="2:6" x14ac:dyDescent="0.25">
      <c r="B24" s="6" t="s">
        <v>183</v>
      </c>
      <c r="C24" s="37">
        <v>450</v>
      </c>
      <c r="D24" s="37">
        <v>380</v>
      </c>
      <c r="E24" s="37">
        <f>C24-D24</f>
      </c>
      <c r="F24" s="42">
        <f>D24/$D$13</f>
      </c>
    </row>
    <row r="25" ht="20" customHeight="1" spans="2:6" x14ac:dyDescent="0.25">
      <c r="B25" s="96" t="s">
        <v>184</v>
      </c>
      <c r="C25" s="97">
        <f>SUM(C22:C24)</f>
      </c>
      <c r="D25" s="97">
        <f>SUM(D22:D24)</f>
      </c>
      <c r="E25" s="97">
        <f>C25-D25</f>
      </c>
      <c r="F25" s="98">
        <f>D25/D13</f>
      </c>
    </row>
    <row r="26" ht="20" customHeight="1" spans="2:6" x14ac:dyDescent="0.25">
      <c r="B26" s="88" t="s">
        <v>185</v>
      </c>
      <c r="C26" s="88"/>
      <c r="D26" s="88"/>
      <c r="E26" s="88"/>
      <c r="F26" s="88"/>
    </row>
    <row r="27" ht="19" customHeight="1" spans="2:6" x14ac:dyDescent="0.25">
      <c r="B27" s="6" t="s">
        <v>186</v>
      </c>
      <c r="C27" s="37">
        <v>2200</v>
      </c>
      <c r="D27" s="37">
        <v>2200</v>
      </c>
      <c r="E27" s="37">
        <f>D27-C27</f>
      </c>
      <c r="F27" s="42">
        <f>D27/$D$13</f>
      </c>
    </row>
    <row r="28" ht="19" customHeight="1" spans="2:6" x14ac:dyDescent="0.25">
      <c r="B28" s="6" t="s">
        <v>187</v>
      </c>
      <c r="C28" s="37">
        <v>500</v>
      </c>
      <c r="D28" s="37">
        <v>500</v>
      </c>
      <c r="E28" s="37">
        <f>D28-C28</f>
      </c>
      <c r="F28" s="42">
        <f>D28/$D$13</f>
      </c>
    </row>
    <row r="29" ht="19" customHeight="1" spans="2:6" x14ac:dyDescent="0.25">
      <c r="B29" s="6" t="s">
        <v>188</v>
      </c>
      <c r="C29" s="37">
        <v>600</v>
      </c>
      <c r="D29" s="37">
        <v>750</v>
      </c>
      <c r="E29" s="37">
        <f>D29-C29</f>
      </c>
      <c r="F29" s="42">
        <f>D29/$D$13</f>
      </c>
    </row>
    <row r="30" ht="20" customHeight="1" spans="2:6" x14ac:dyDescent="0.25">
      <c r="B30" s="99" t="s">
        <v>189</v>
      </c>
      <c r="C30" s="100">
        <f>SUM(C27:C29)</f>
      </c>
      <c r="D30" s="100">
        <f>SUM(D27:D29)</f>
      </c>
      <c r="E30" s="100">
        <f>D30-C30</f>
      </c>
      <c r="F30" s="101">
        <f>D30/D13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50"/>
  <sheetViews>
    <sheetView workbookViewId="0"/>
  </sheetViews>
  <sheetFormatPr defaultRowHeight="15" outlineLevelRow="0" outlineLevelCol="0" x14ac:dyDescent="55"/>
  <cols>
    <col min="1" max="1" width="3" customWidth="1"/>
    <col min="2" max="2" width="14" customWidth="1"/>
    <col min="3" max="3" width="34" customWidth="1"/>
    <col min="4" max="4" width="16" customWidth="1"/>
    <col min="5" max="5" width="22" customWidth="1"/>
    <col min="6" max="6" width="18" customWidth="1"/>
    <col min="7" max="7" width="4" customWidth="1"/>
    <col min="8" max="8" width="30" customWidth="1"/>
    <col min="9" max="9" width="16" customWidth="1"/>
    <col min="10" max="10" width="12" customWidth="1"/>
    <col min="11" max="11" width="18" customWidth="1"/>
    <col min="12" max="12" width="3" customWidth="1"/>
  </cols>
  <sheetData>
    <row r="2" ht="28" customHeight="1" spans="2:11" x14ac:dyDescent="0.25">
      <c r="B2" s="1" t="s">
        <v>190</v>
      </c>
      <c r="C2" s="1"/>
      <c r="D2" s="1"/>
      <c r="E2" s="1"/>
      <c r="F2" s="1"/>
      <c r="G2" s="1"/>
      <c r="H2" s="1"/>
      <c r="I2" s="1"/>
      <c r="J2" s="1"/>
      <c r="K2" s="1"/>
    </row>
    <row r="3" ht="20" customHeight="1" spans="2:11" x14ac:dyDescent="0.25">
      <c r="B3" s="33" t="s">
        <v>191</v>
      </c>
      <c r="C3" s="33"/>
      <c r="D3" s="33"/>
      <c r="E3" s="33"/>
      <c r="F3" s="33"/>
      <c r="G3" s="33"/>
      <c r="H3" s="33"/>
      <c r="I3" s="33"/>
      <c r="J3" s="33"/>
      <c r="K3" s="33"/>
    </row>
    <row r="5" ht="20" customHeight="1" spans="2:11" x14ac:dyDescent="0.25">
      <c r="B5" s="102" t="s">
        <v>192</v>
      </c>
      <c r="C5" s="102"/>
      <c r="D5" s="102"/>
      <c r="E5" s="102"/>
      <c r="F5" s="102"/>
      <c r="H5" s="103" t="s">
        <v>193</v>
      </c>
      <c r="I5" s="103"/>
      <c r="J5" s="103"/>
      <c r="K5" s="103"/>
    </row>
    <row r="6" ht="19" customHeight="1" spans="2:11" x14ac:dyDescent="0.25">
      <c r="B6" s="104" t="s">
        <v>194</v>
      </c>
      <c r="C6" s="104"/>
      <c r="D6" s="104"/>
      <c r="E6" s="104"/>
      <c r="F6" s="104"/>
      <c r="H6" s="105" t="s">
        <v>195</v>
      </c>
      <c r="I6" s="106">
        <f>SUMIF(E12:E250, "*INFLOW*", D12:D250)</f>
      </c>
      <c r="J6" s="107" t="s">
        <v>196</v>
      </c>
      <c r="K6" s="107"/>
    </row>
    <row r="7" ht="19" customHeight="1" spans="2:11" x14ac:dyDescent="0.25">
      <c r="B7" s="104" t="s">
        <v>197</v>
      </c>
      <c r="C7" s="104"/>
      <c r="D7" s="104"/>
      <c r="E7" s="104"/>
      <c r="F7" s="104"/>
      <c r="H7" s="105" t="s">
        <v>198</v>
      </c>
      <c r="I7" s="108">
        <f>SUMIF(E12:E250, "&lt;&gt;*INFLOW*", D12:D250)</f>
      </c>
      <c r="J7" s="107" t="s">
        <v>199</v>
      </c>
      <c r="K7" s="107"/>
    </row>
    <row r="8" ht="19" customHeight="1" spans="2:11" x14ac:dyDescent="0.25">
      <c r="B8" s="104" t="s">
        <v>200</v>
      </c>
      <c r="C8" s="104"/>
      <c r="D8" s="104"/>
      <c r="E8" s="104"/>
      <c r="F8" s="104"/>
      <c r="H8" s="105" t="s">
        <v>201</v>
      </c>
      <c r="I8" s="109">
        <f>I6-I7</f>
      </c>
      <c r="J8" s="107" t="s">
        <v>202</v>
      </c>
      <c r="K8" s="107"/>
    </row>
    <row r="9" ht="19" customHeight="1" spans="2:11" x14ac:dyDescent="0.25">
      <c r="B9" s="104" t="s">
        <v>203</v>
      </c>
      <c r="C9" s="104"/>
      <c r="D9" s="104"/>
      <c r="E9" s="104"/>
      <c r="F9" s="104"/>
      <c r="H9" s="105" t="s">
        <v>204</v>
      </c>
      <c r="I9" s="110">
        <f>IF(I6&gt;0, I8/I6, 0)</f>
      </c>
      <c r="J9" s="107" t="s">
        <v>205</v>
      </c>
      <c r="K9" s="107"/>
    </row>
    <row r="11" ht="24" customHeight="1" spans="2:11" x14ac:dyDescent="0.25">
      <c r="B11" s="111" t="s">
        <v>206</v>
      </c>
      <c r="C11" s="111" t="s">
        <v>207</v>
      </c>
      <c r="D11" s="112" t="s">
        <v>208</v>
      </c>
      <c r="E11" s="111" t="s">
        <v>209</v>
      </c>
      <c r="F11" s="111" t="s">
        <v>210</v>
      </c>
      <c r="H11" s="113" t="s">
        <v>211</v>
      </c>
      <c r="I11" s="114" t="s">
        <v>212</v>
      </c>
      <c r="J11" s="114" t="s">
        <v>213</v>
      </c>
      <c r="K11" s="115" t="s">
        <v>214</v>
      </c>
    </row>
    <row r="12" ht="18" customHeight="1" spans="2:11" x14ac:dyDescent="0.25">
      <c r="B12" s="116" t="s">
        <v>215</v>
      </c>
      <c r="C12" s="117" t="s">
        <v>216</v>
      </c>
      <c r="D12" s="118">
        <v>3450</v>
      </c>
      <c r="E12" s="116" t="s">
        <v>217</v>
      </c>
      <c r="F12" s="116" t="s">
        <v>168</v>
      </c>
      <c r="H12" s="117" t="s">
        <v>218</v>
      </c>
      <c r="I12" s="119">
        <f>SUMIFS(D$12:D$250, F$12:F$250, "*Needs*")</f>
      </c>
      <c r="J12" s="42">
        <f>IF(I$15&gt;0, I12/I$15, 0)</f>
      </c>
      <c r="K12" s="120" t="s">
        <v>219</v>
      </c>
    </row>
    <row r="13" ht="18" customHeight="1" spans="2:11" x14ac:dyDescent="0.25">
      <c r="B13" s="121" t="s">
        <v>220</v>
      </c>
      <c r="C13" s="122" t="s">
        <v>221</v>
      </c>
      <c r="D13" s="123">
        <v>1650</v>
      </c>
      <c r="E13" s="121" t="s">
        <v>222</v>
      </c>
      <c r="F13" s="121" t="s">
        <v>223</v>
      </c>
      <c r="H13" s="117" t="s">
        <v>224</v>
      </c>
      <c r="I13" s="119">
        <f>SUMIFS(D$12:D$250, F$12:F$250, "*Wants*")</f>
      </c>
      <c r="J13" s="42">
        <f>IF(I$15&gt;0, I13/I$15, 0)</f>
      </c>
      <c r="K13" s="120" t="s">
        <v>225</v>
      </c>
    </row>
    <row r="14" ht="18" customHeight="1" spans="2:11" x14ac:dyDescent="0.25">
      <c r="B14" s="116" t="s">
        <v>226</v>
      </c>
      <c r="C14" s="117" t="s">
        <v>227</v>
      </c>
      <c r="D14" s="124">
        <v>84.15</v>
      </c>
      <c r="E14" s="116" t="s">
        <v>228</v>
      </c>
      <c r="F14" s="116" t="s">
        <v>223</v>
      </c>
      <c r="H14" s="117" t="s">
        <v>229</v>
      </c>
      <c r="I14" s="119">
        <f>SUMIFS(D$12:D$250, F$12:F$250, "*Wealth*")</f>
      </c>
      <c r="J14" s="42">
        <f>IF(I$15&gt;0, I14/I$15, 0)</f>
      </c>
      <c r="K14" s="120" t="s">
        <v>230</v>
      </c>
    </row>
    <row r="15" ht="18" customHeight="1" spans="2:11" x14ac:dyDescent="0.25">
      <c r="B15" s="121" t="s">
        <v>231</v>
      </c>
      <c r="C15" s="122" t="s">
        <v>232</v>
      </c>
      <c r="D15" s="123">
        <v>48.5</v>
      </c>
      <c r="E15" s="121" t="s">
        <v>233</v>
      </c>
      <c r="F15" s="121" t="s">
        <v>223</v>
      </c>
      <c r="H15" s="61" t="s">
        <v>234</v>
      </c>
      <c r="I15" s="125">
        <f>SUM(I12:I14)</f>
      </c>
      <c r="J15" s="126">
        <f>SUM(J12:J14)</f>
      </c>
      <c r="K15" s="127" t="s">
        <v>235</v>
      </c>
    </row>
    <row r="16" ht="18" customHeight="1" spans="2:6" x14ac:dyDescent="0.25">
      <c r="B16" s="116" t="s">
        <v>236</v>
      </c>
      <c r="C16" s="117" t="s">
        <v>237</v>
      </c>
      <c r="D16" s="124">
        <v>6.25</v>
      </c>
      <c r="E16" s="116" t="s">
        <v>238</v>
      </c>
      <c r="F16" s="116" t="s">
        <v>239</v>
      </c>
    </row>
    <row r="17" ht="18" customHeight="1" spans="2:11" x14ac:dyDescent="0.25">
      <c r="B17" s="121" t="s">
        <v>240</v>
      </c>
      <c r="C17" s="122" t="s">
        <v>241</v>
      </c>
      <c r="D17" s="123">
        <v>15.99</v>
      </c>
      <c r="E17" s="121" t="s">
        <v>242</v>
      </c>
      <c r="F17" s="121" t="s">
        <v>239</v>
      </c>
      <c r="H17" s="128" t="s">
        <v>243</v>
      </c>
      <c r="I17" s="128"/>
      <c r="J17" s="128"/>
      <c r="K17" s="128"/>
    </row>
    <row r="18" ht="18" customHeight="1" spans="2:11" x14ac:dyDescent="0.25">
      <c r="B18" s="116" t="s">
        <v>244</v>
      </c>
      <c r="C18" s="117" t="s">
        <v>245</v>
      </c>
      <c r="D18" s="124">
        <v>42.1</v>
      </c>
      <c r="E18" s="116" t="s">
        <v>246</v>
      </c>
      <c r="F18" s="116" t="s">
        <v>239</v>
      </c>
      <c r="H18" s="116" t="s">
        <v>247</v>
      </c>
      <c r="I18" s="119">
        <f>SUMIF(E$12:E$250, "*HOUSING*", D$12:D$250)</f>
      </c>
      <c r="J18" s="42">
        <f>IF(I$15&gt;0, I18/I$15, 0)</f>
      </c>
      <c r="K18" s="129" t="s">
        <v>248</v>
      </c>
    </row>
    <row r="19" ht="18" customHeight="1" spans="2:11" x14ac:dyDescent="0.25">
      <c r="B19" s="121" t="s">
        <v>249</v>
      </c>
      <c r="C19" s="122" t="s">
        <v>250</v>
      </c>
      <c r="D19" s="123">
        <v>22.4</v>
      </c>
      <c r="E19" s="121" t="s">
        <v>233</v>
      </c>
      <c r="F19" s="121" t="s">
        <v>223</v>
      </c>
      <c r="H19" s="121" t="s">
        <v>251</v>
      </c>
      <c r="I19" s="130">
        <f>SUMIF(E$12:E$250, "*GROCERIES*", D$12:D$250)</f>
      </c>
      <c r="J19" s="47">
        <f>IF(I$15&gt;0, I19/I$15, 0)</f>
      </c>
      <c r="K19" s="131" t="s">
        <v>248</v>
      </c>
    </row>
    <row r="20" ht="18" customHeight="1" spans="2:11" x14ac:dyDescent="0.25">
      <c r="B20" s="116" t="s">
        <v>252</v>
      </c>
      <c r="C20" s="117" t="s">
        <v>253</v>
      </c>
      <c r="D20" s="124">
        <v>14.8</v>
      </c>
      <c r="E20" s="116" t="s">
        <v>238</v>
      </c>
      <c r="F20" s="116" t="s">
        <v>239</v>
      </c>
      <c r="H20" s="116" t="s">
        <v>254</v>
      </c>
      <c r="I20" s="119">
        <f>SUMIF(E$12:E$250, "*DINING*", D$12:D$250)</f>
      </c>
      <c r="J20" s="42">
        <f>IF(I$15&gt;0, I20/I$15, 0)</f>
      </c>
      <c r="K20" s="129" t="s">
        <v>248</v>
      </c>
    </row>
    <row r="21" ht="18" customHeight="1" spans="2:11" x14ac:dyDescent="0.25">
      <c r="B21" s="121" t="s">
        <v>255</v>
      </c>
      <c r="C21" s="122" t="s">
        <v>256</v>
      </c>
      <c r="D21" s="123">
        <v>96.3</v>
      </c>
      <c r="E21" s="121" t="s">
        <v>228</v>
      </c>
      <c r="F21" s="121" t="s">
        <v>223</v>
      </c>
      <c r="H21" s="121" t="s">
        <v>257</v>
      </c>
      <c r="I21" s="130">
        <f>SUMIF(E$12:E$250, "*TRANSPORT*", D$12:D$250)</f>
      </c>
      <c r="J21" s="47">
        <f>IF(I$15&gt;0, I21/I$15, 0)</f>
      </c>
      <c r="K21" s="131" t="s">
        <v>248</v>
      </c>
    </row>
    <row r="22" ht="18" customHeight="1" spans="2:11" x14ac:dyDescent="0.25">
      <c r="B22" s="116" t="s">
        <v>258</v>
      </c>
      <c r="C22" s="117" t="s">
        <v>259</v>
      </c>
      <c r="D22" s="124">
        <v>78.4</v>
      </c>
      <c r="E22" s="116" t="s">
        <v>222</v>
      </c>
      <c r="F22" s="116" t="s">
        <v>223</v>
      </c>
      <c r="H22" s="116" t="s">
        <v>260</v>
      </c>
      <c r="I22" s="119">
        <f>SUMIF(E$12:E$250, "*SUBSCRIPTION*", D$12:D$250)</f>
      </c>
      <c r="J22" s="42">
        <f>IF(I$15&gt;0, I22/I$15, 0)</f>
      </c>
      <c r="K22" s="132" t="s">
        <v>261</v>
      </c>
    </row>
    <row r="23" ht="18" customHeight="1" spans="2:11" x14ac:dyDescent="0.25">
      <c r="B23" s="121" t="s">
        <v>262</v>
      </c>
      <c r="C23" s="122" t="s">
        <v>263</v>
      </c>
      <c r="D23" s="123">
        <v>11.99</v>
      </c>
      <c r="E23" s="121" t="s">
        <v>242</v>
      </c>
      <c r="F23" s="121" t="s">
        <v>239</v>
      </c>
      <c r="H23" s="121" t="s">
        <v>264</v>
      </c>
      <c r="I23" s="130">
        <f>SUMIF(E$12:E$250, "*SHOPPING*", D$12:D$250)</f>
      </c>
      <c r="J23" s="47">
        <f>IF(I$15&gt;0, I23/I$15, 0)</f>
      </c>
      <c r="K23" s="131" t="s">
        <v>248</v>
      </c>
    </row>
    <row r="24" ht="18" customHeight="1" spans="2:11" x14ac:dyDescent="0.25">
      <c r="B24" s="116" t="s">
        <v>265</v>
      </c>
      <c r="C24" s="117" t="s">
        <v>266</v>
      </c>
      <c r="D24" s="124">
        <v>185</v>
      </c>
      <c r="E24" s="116" t="s">
        <v>242</v>
      </c>
      <c r="F24" s="116" t="s">
        <v>239</v>
      </c>
      <c r="H24" s="116" t="s">
        <v>267</v>
      </c>
      <c r="I24" s="119">
        <f>SUMIF(E$12:E$250, "*HEALTHCARE*", D$12:D$250)</f>
      </c>
      <c r="J24" s="42">
        <f>IF(I$15&gt;0, I24/I$15, 0)</f>
      </c>
      <c r="K24" s="129" t="s">
        <v>248</v>
      </c>
    </row>
    <row r="25" ht="18" customHeight="1" spans="2:11" x14ac:dyDescent="0.25">
      <c r="B25" s="121" t="s">
        <v>268</v>
      </c>
      <c r="C25" s="122" t="s">
        <v>269</v>
      </c>
      <c r="D25" s="123">
        <v>24.15</v>
      </c>
      <c r="E25" s="121" t="s">
        <v>270</v>
      </c>
      <c r="F25" s="121" t="s">
        <v>223</v>
      </c>
      <c r="H25" s="121" t="s">
        <v>271</v>
      </c>
      <c r="I25" s="130">
        <f>SUMIF(E$12:E$250, "*MISC*", D$12:D$250)</f>
      </c>
      <c r="J25" s="47">
        <f>IF(I$15&gt;0, I25/I$15, 0)</f>
      </c>
      <c r="K25" s="131" t="s">
        <v>248</v>
      </c>
    </row>
    <row r="26" ht="18" customHeight="1" spans="2:6" x14ac:dyDescent="0.25">
      <c r="B26" s="116" t="s">
        <v>272</v>
      </c>
      <c r="C26" s="117" t="s">
        <v>216</v>
      </c>
      <c r="D26" s="118">
        <v>3450</v>
      </c>
      <c r="E26" s="116" t="s">
        <v>217</v>
      </c>
      <c r="F26" s="116" t="s">
        <v>168</v>
      </c>
    </row>
    <row r="27" ht="18" customHeight="1" spans="2:11" x14ac:dyDescent="0.25">
      <c r="B27" s="121" t="s">
        <v>273</v>
      </c>
      <c r="C27" s="122" t="s">
        <v>274</v>
      </c>
      <c r="D27" s="123">
        <v>32.5</v>
      </c>
      <c r="E27" s="121" t="s">
        <v>238</v>
      </c>
      <c r="F27" s="121" t="s">
        <v>239</v>
      </c>
      <c r="H27" s="133" t="s">
        <v>275</v>
      </c>
      <c r="I27" s="133"/>
      <c r="J27" s="133"/>
      <c r="K27" s="133"/>
    </row>
    <row r="28" ht="18" customHeight="1" spans="2:11" x14ac:dyDescent="0.25">
      <c r="B28" s="116" t="s">
        <v>276</v>
      </c>
      <c r="C28" s="117" t="s">
        <v>277</v>
      </c>
      <c r="D28" s="124">
        <v>52</v>
      </c>
      <c r="E28" s="116" t="s">
        <v>233</v>
      </c>
      <c r="F28" s="116" t="s">
        <v>223</v>
      </c>
      <c r="H28" s="117" t="s">
        <v>278</v>
      </c>
      <c r="I28" s="134">
        <f>I22</f>
      </c>
      <c r="J28" s="135">
        <f>IF(I$15&gt;0, I28/I$15, 0)</f>
      </c>
      <c r="K28" s="132" t="s">
        <v>279</v>
      </c>
    </row>
    <row r="29" ht="18" customHeight="1" spans="2:11" x14ac:dyDescent="0.25">
      <c r="B29" s="121" t="s">
        <v>280</v>
      </c>
      <c r="C29" s="122" t="s">
        <v>281</v>
      </c>
      <c r="D29" s="123">
        <v>68.9</v>
      </c>
      <c r="E29" s="121" t="s">
        <v>246</v>
      </c>
      <c r="F29" s="121" t="s">
        <v>239</v>
      </c>
      <c r="H29" s="117" t="s">
        <v>282</v>
      </c>
      <c r="I29" s="134">
        <f>I28*12</f>
      </c>
      <c r="J29" s="116" t="s">
        <v>283</v>
      </c>
      <c r="K29" s="132" t="s">
        <v>284</v>
      </c>
    </row>
    <row r="30" ht="18" customHeight="1" spans="2:11" x14ac:dyDescent="0.25">
      <c r="B30" s="116" t="s">
        <v>285</v>
      </c>
      <c r="C30" s="117" t="s">
        <v>286</v>
      </c>
      <c r="D30" s="124">
        <v>20</v>
      </c>
      <c r="E30" s="116" t="s">
        <v>242</v>
      </c>
      <c r="F30" s="116" t="s">
        <v>239</v>
      </c>
      <c r="H30" s="117" t="s">
        <v>287</v>
      </c>
      <c r="I30" s="136">
        <f>I28*182.946</f>
      </c>
      <c r="J30" s="116" t="s">
        <v>283</v>
      </c>
      <c r="K30" s="132" t="s">
        <v>288</v>
      </c>
    </row>
    <row r="31" ht="18" customHeight="1" spans="2:11" x14ac:dyDescent="0.25">
      <c r="B31" s="121" t="s">
        <v>289</v>
      </c>
      <c r="C31" s="122" t="s">
        <v>290</v>
      </c>
      <c r="D31" s="123">
        <v>9.99</v>
      </c>
      <c r="E31" s="121" t="s">
        <v>242</v>
      </c>
      <c r="F31" s="121" t="s">
        <v>239</v>
      </c>
      <c r="H31" s="117" t="s">
        <v>291</v>
      </c>
      <c r="I31" s="137" t="s">
        <v>292</v>
      </c>
      <c r="J31" s="116" t="s">
        <v>283</v>
      </c>
      <c r="K31" s="132" t="s">
        <v>293</v>
      </c>
    </row>
    <row r="32" ht="18" customHeight="1" spans="2:6" x14ac:dyDescent="0.25">
      <c r="B32" s="116" t="s">
        <v>294</v>
      </c>
      <c r="C32" s="117" t="s">
        <v>295</v>
      </c>
      <c r="D32" s="124">
        <v>149.99</v>
      </c>
      <c r="E32" s="116" t="s">
        <v>246</v>
      </c>
      <c r="F32" s="116" t="s">
        <v>239</v>
      </c>
    </row>
    <row r="33" ht="18" customHeight="1" spans="2:6" x14ac:dyDescent="0.25">
      <c r="B33" s="121" t="s">
        <v>296</v>
      </c>
      <c r="C33" s="122" t="s">
        <v>227</v>
      </c>
      <c r="D33" s="123">
        <v>92.4</v>
      </c>
      <c r="E33" s="121" t="s">
        <v>228</v>
      </c>
      <c r="F33" s="121" t="s">
        <v>223</v>
      </c>
    </row>
    <row r="34" ht="18" customHeight="1" spans="2:6" x14ac:dyDescent="0.25">
      <c r="B34" s="116" t="s">
        <v>297</v>
      </c>
      <c r="C34" s="117" t="s">
        <v>298</v>
      </c>
      <c r="D34" s="124">
        <v>85</v>
      </c>
      <c r="E34" s="116" t="s">
        <v>222</v>
      </c>
      <c r="F34" s="116" t="s">
        <v>223</v>
      </c>
    </row>
    <row r="35" ht="18" customHeight="1" spans="2:6" x14ac:dyDescent="0.25">
      <c r="B35" s="121" t="s">
        <v>299</v>
      </c>
      <c r="C35" s="122" t="s">
        <v>300</v>
      </c>
      <c r="D35" s="123">
        <v>7.5</v>
      </c>
      <c r="E35" s="121" t="s">
        <v>238</v>
      </c>
      <c r="F35" s="121" t="s">
        <v>239</v>
      </c>
    </row>
    <row r="36" spans="2:6" x14ac:dyDescent="0.25">
      <c r="B36" s="6"/>
      <c r="C36" s="6"/>
      <c r="D36" s="138"/>
      <c r="E36" s="6"/>
      <c r="F36" s="6"/>
    </row>
    <row r="37" spans="2:6" x14ac:dyDescent="0.25">
      <c r="B37" s="6"/>
      <c r="C37" s="6"/>
      <c r="D37" s="138"/>
      <c r="E37" s="6"/>
      <c r="F37" s="6"/>
    </row>
    <row r="38" spans="2:6" x14ac:dyDescent="0.25">
      <c r="B38" s="6"/>
      <c r="C38" s="6"/>
      <c r="D38" s="138"/>
      <c r="E38" s="6"/>
      <c r="F38" s="6"/>
    </row>
    <row r="39" spans="2:6" x14ac:dyDescent="0.25">
      <c r="B39" s="6"/>
      <c r="C39" s="6"/>
      <c r="D39" s="138"/>
      <c r="E39" s="6"/>
      <c r="F39" s="6"/>
    </row>
    <row r="40" spans="2:6" x14ac:dyDescent="0.25">
      <c r="B40" s="6"/>
      <c r="C40" s="6"/>
      <c r="D40" s="138"/>
      <c r="E40" s="6"/>
      <c r="F40" s="6"/>
    </row>
    <row r="41" spans="2:6" x14ac:dyDescent="0.25">
      <c r="B41" s="6"/>
      <c r="C41" s="6"/>
      <c r="D41" s="138"/>
      <c r="E41" s="6"/>
      <c r="F41" s="6"/>
    </row>
    <row r="42" spans="2:6" x14ac:dyDescent="0.25">
      <c r="B42" s="6"/>
      <c r="C42" s="6"/>
      <c r="D42" s="138"/>
      <c r="E42" s="6"/>
      <c r="F42" s="6"/>
    </row>
    <row r="43" spans="2:6" x14ac:dyDescent="0.25">
      <c r="B43" s="6"/>
      <c r="C43" s="6"/>
      <c r="D43" s="138"/>
      <c r="E43" s="6"/>
      <c r="F43" s="6"/>
    </row>
    <row r="44" spans="2:6" x14ac:dyDescent="0.25">
      <c r="B44" s="6"/>
      <c r="C44" s="6"/>
      <c r="D44" s="138"/>
      <c r="E44" s="6"/>
      <c r="F44" s="6"/>
    </row>
    <row r="45" spans="2:6" x14ac:dyDescent="0.25">
      <c r="B45" s="6"/>
      <c r="C45" s="6"/>
      <c r="D45" s="138"/>
      <c r="E45" s="6"/>
      <c r="F45" s="6"/>
    </row>
    <row r="46" spans="2:6" x14ac:dyDescent="0.25">
      <c r="B46" s="6"/>
      <c r="C46" s="6"/>
      <c r="D46" s="138"/>
      <c r="E46" s="6"/>
      <c r="F46" s="6"/>
    </row>
    <row r="47" spans="2:6" x14ac:dyDescent="0.25">
      <c r="B47" s="6"/>
      <c r="C47" s="6"/>
      <c r="D47" s="138"/>
      <c r="E47" s="6"/>
      <c r="F47" s="6"/>
    </row>
    <row r="48" spans="2:6" x14ac:dyDescent="0.25">
      <c r="B48" s="6"/>
      <c r="C48" s="6"/>
      <c r="D48" s="138"/>
      <c r="E48" s="6"/>
      <c r="F48" s="6"/>
    </row>
    <row r="49" spans="2:6" x14ac:dyDescent="0.25">
      <c r="B49" s="6"/>
      <c r="C49" s="6"/>
      <c r="D49" s="138"/>
      <c r="E49" s="6"/>
      <c r="F49" s="6"/>
    </row>
    <row r="50" spans="2:6" x14ac:dyDescent="0.25">
      <c r="B50" s="6"/>
      <c r="C50" s="6"/>
      <c r="D50" s="138"/>
      <c r="E50" s="6"/>
      <c r="F50" s="6"/>
    </row>
    <row r="51" spans="2:6" x14ac:dyDescent="0.25">
      <c r="B51" s="6"/>
      <c r="C51" s="6"/>
      <c r="D51" s="138"/>
      <c r="E51" s="6"/>
      <c r="F51" s="6"/>
    </row>
    <row r="52" spans="2:6" x14ac:dyDescent="0.25">
      <c r="B52" s="6"/>
      <c r="C52" s="6"/>
      <c r="D52" s="138"/>
      <c r="E52" s="6"/>
      <c r="F52" s="6"/>
    </row>
    <row r="53" spans="2:6" x14ac:dyDescent="0.25">
      <c r="B53" s="6"/>
      <c r="C53" s="6"/>
      <c r="D53" s="138"/>
      <c r="E53" s="6"/>
      <c r="F53" s="6"/>
    </row>
    <row r="54" spans="2:6" x14ac:dyDescent="0.25">
      <c r="B54" s="6"/>
      <c r="C54" s="6"/>
      <c r="D54" s="138"/>
      <c r="E54" s="6"/>
      <c r="F54" s="6"/>
    </row>
    <row r="55" spans="2:6" x14ac:dyDescent="0.25">
      <c r="B55" s="6"/>
      <c r="C55" s="6"/>
      <c r="D55" s="138"/>
      <c r="E55" s="6"/>
      <c r="F55" s="6"/>
    </row>
    <row r="56" spans="2:6" x14ac:dyDescent="0.25">
      <c r="B56" s="6"/>
      <c r="C56" s="6"/>
      <c r="D56" s="138"/>
      <c r="E56" s="6"/>
      <c r="F56" s="6"/>
    </row>
    <row r="57" spans="2:6" x14ac:dyDescent="0.25">
      <c r="B57" s="6"/>
      <c r="C57" s="6"/>
      <c r="D57" s="138"/>
      <c r="E57" s="6"/>
      <c r="F57" s="6"/>
    </row>
    <row r="58" spans="2:6" x14ac:dyDescent="0.25">
      <c r="B58" s="6"/>
      <c r="C58" s="6"/>
      <c r="D58" s="138"/>
      <c r="E58" s="6"/>
      <c r="F58" s="6"/>
    </row>
    <row r="59" spans="2:6" x14ac:dyDescent="0.25">
      <c r="B59" s="6"/>
      <c r="C59" s="6"/>
      <c r="D59" s="138"/>
      <c r="E59" s="6"/>
      <c r="F59" s="6"/>
    </row>
    <row r="60" spans="2:6" x14ac:dyDescent="0.25">
      <c r="B60" s="6"/>
      <c r="C60" s="6"/>
      <c r="D60" s="138"/>
      <c r="E60" s="6"/>
      <c r="F60" s="6"/>
    </row>
    <row r="61" spans="2:6" x14ac:dyDescent="0.25">
      <c r="B61" s="6"/>
      <c r="C61" s="6"/>
      <c r="D61" s="138"/>
      <c r="E61" s="6"/>
      <c r="F61" s="6"/>
    </row>
    <row r="62" spans="2:6" x14ac:dyDescent="0.25">
      <c r="B62" s="6"/>
      <c r="C62" s="6"/>
      <c r="D62" s="138"/>
      <c r="E62" s="6"/>
      <c r="F62" s="6"/>
    </row>
    <row r="63" spans="2:6" x14ac:dyDescent="0.25">
      <c r="B63" s="6"/>
      <c r="C63" s="6"/>
      <c r="D63" s="138"/>
      <c r="E63" s="6"/>
      <c r="F63" s="6"/>
    </row>
    <row r="64" spans="2:6" x14ac:dyDescent="0.25">
      <c r="B64" s="6"/>
      <c r="C64" s="6"/>
      <c r="D64" s="138"/>
      <c r="E64" s="6"/>
      <c r="F64" s="6"/>
    </row>
    <row r="65" spans="2:6" x14ac:dyDescent="0.25">
      <c r="B65" s="6"/>
      <c r="C65" s="6"/>
      <c r="D65" s="138"/>
      <c r="E65" s="6"/>
      <c r="F65" s="6"/>
    </row>
    <row r="66" spans="2:6" x14ac:dyDescent="0.25">
      <c r="B66" s="6"/>
      <c r="C66" s="6"/>
      <c r="D66" s="138"/>
      <c r="E66" s="6"/>
      <c r="F66" s="6"/>
    </row>
    <row r="67" spans="2:6" x14ac:dyDescent="0.25">
      <c r="B67" s="6"/>
      <c r="C67" s="6"/>
      <c r="D67" s="138"/>
      <c r="E67" s="6"/>
      <c r="F67" s="6"/>
    </row>
    <row r="68" spans="2:6" x14ac:dyDescent="0.25">
      <c r="B68" s="6"/>
      <c r="C68" s="6"/>
      <c r="D68" s="138"/>
      <c r="E68" s="6"/>
      <c r="F68" s="6"/>
    </row>
    <row r="69" spans="2:6" x14ac:dyDescent="0.25">
      <c r="B69" s="6"/>
      <c r="C69" s="6"/>
      <c r="D69" s="138"/>
      <c r="E69" s="6"/>
      <c r="F69" s="6"/>
    </row>
    <row r="70" spans="2:6" x14ac:dyDescent="0.25">
      <c r="B70" s="6"/>
      <c r="C70" s="6"/>
      <c r="D70" s="138"/>
      <c r="E70" s="6"/>
      <c r="F70" s="6"/>
    </row>
    <row r="71" spans="2:6" x14ac:dyDescent="0.25">
      <c r="B71" s="6"/>
      <c r="C71" s="6"/>
      <c r="D71" s="138"/>
      <c r="E71" s="6"/>
      <c r="F71" s="6"/>
    </row>
    <row r="72" spans="2:6" x14ac:dyDescent="0.25">
      <c r="B72" s="6"/>
      <c r="C72" s="6"/>
      <c r="D72" s="138"/>
      <c r="E72" s="6"/>
      <c r="F72" s="6"/>
    </row>
    <row r="73" spans="2:6" x14ac:dyDescent="0.25">
      <c r="B73" s="6"/>
      <c r="C73" s="6"/>
      <c r="D73" s="138"/>
      <c r="E73" s="6"/>
      <c r="F73" s="6"/>
    </row>
    <row r="74" spans="2:6" x14ac:dyDescent="0.25">
      <c r="B74" s="6"/>
      <c r="C74" s="6"/>
      <c r="D74" s="138"/>
      <c r="E74" s="6"/>
      <c r="F74" s="6"/>
    </row>
    <row r="75" spans="2:6" x14ac:dyDescent="0.25">
      <c r="B75" s="6"/>
      <c r="C75" s="6"/>
      <c r="D75" s="138"/>
      <c r="E75" s="6"/>
      <c r="F75" s="6"/>
    </row>
    <row r="76" spans="2:6" x14ac:dyDescent="0.25">
      <c r="B76" s="6"/>
      <c r="C76" s="6"/>
      <c r="D76" s="138"/>
      <c r="E76" s="6"/>
      <c r="F76" s="6"/>
    </row>
    <row r="77" spans="2:6" x14ac:dyDescent="0.25">
      <c r="B77" s="6"/>
      <c r="C77" s="6"/>
      <c r="D77" s="138"/>
      <c r="E77" s="6"/>
      <c r="F77" s="6"/>
    </row>
    <row r="78" spans="2:6" x14ac:dyDescent="0.25">
      <c r="B78" s="6"/>
      <c r="C78" s="6"/>
      <c r="D78" s="138"/>
      <c r="E78" s="6"/>
      <c r="F78" s="6"/>
    </row>
    <row r="79" spans="2:6" x14ac:dyDescent="0.25">
      <c r="B79" s="6"/>
      <c r="C79" s="6"/>
      <c r="D79" s="138"/>
      <c r="E79" s="6"/>
      <c r="F79" s="6"/>
    </row>
    <row r="80" spans="2:6" x14ac:dyDescent="0.25">
      <c r="B80" s="6"/>
      <c r="C80" s="6"/>
      <c r="D80" s="138"/>
      <c r="E80" s="6"/>
      <c r="F80" s="6"/>
    </row>
    <row r="81" spans="2:6" x14ac:dyDescent="0.25">
      <c r="B81" s="6"/>
      <c r="C81" s="6"/>
      <c r="D81" s="138"/>
      <c r="E81" s="6"/>
      <c r="F81" s="6"/>
    </row>
    <row r="82" spans="2:6" x14ac:dyDescent="0.25">
      <c r="B82" s="6"/>
      <c r="C82" s="6"/>
      <c r="D82" s="138"/>
      <c r="E82" s="6"/>
      <c r="F82" s="6"/>
    </row>
    <row r="83" spans="2:6" x14ac:dyDescent="0.25">
      <c r="B83" s="6"/>
      <c r="C83" s="6"/>
      <c r="D83" s="138"/>
      <c r="E83" s="6"/>
      <c r="F83" s="6"/>
    </row>
    <row r="84" spans="2:6" x14ac:dyDescent="0.25">
      <c r="B84" s="6"/>
      <c r="C84" s="6"/>
      <c r="D84" s="138"/>
      <c r="E84" s="6"/>
      <c r="F84" s="6"/>
    </row>
    <row r="85" spans="2:6" x14ac:dyDescent="0.25">
      <c r="B85" s="6"/>
      <c r="C85" s="6"/>
      <c r="D85" s="138"/>
      <c r="E85" s="6"/>
      <c r="F85" s="6"/>
    </row>
    <row r="86" spans="2:6" x14ac:dyDescent="0.25">
      <c r="B86" s="6"/>
      <c r="C86" s="6"/>
      <c r="D86" s="138"/>
      <c r="E86" s="6"/>
      <c r="F86" s="6"/>
    </row>
    <row r="87" spans="2:6" x14ac:dyDescent="0.25">
      <c r="B87" s="6"/>
      <c r="C87" s="6"/>
      <c r="D87" s="138"/>
      <c r="E87" s="6"/>
      <c r="F87" s="6"/>
    </row>
    <row r="88" spans="2:6" x14ac:dyDescent="0.25">
      <c r="B88" s="6"/>
      <c r="C88" s="6"/>
      <c r="D88" s="138"/>
      <c r="E88" s="6"/>
      <c r="F88" s="6"/>
    </row>
    <row r="89" spans="2:6" x14ac:dyDescent="0.25">
      <c r="B89" s="6"/>
      <c r="C89" s="6"/>
      <c r="D89" s="138"/>
      <c r="E89" s="6"/>
      <c r="F89" s="6"/>
    </row>
    <row r="90" spans="2:6" x14ac:dyDescent="0.25">
      <c r="B90" s="6"/>
      <c r="C90" s="6"/>
      <c r="D90" s="138"/>
      <c r="E90" s="6"/>
      <c r="F90" s="6"/>
    </row>
    <row r="91" spans="2:6" x14ac:dyDescent="0.25">
      <c r="B91" s="6"/>
      <c r="C91" s="6"/>
      <c r="D91" s="138"/>
      <c r="E91" s="6"/>
      <c r="F91" s="6"/>
    </row>
    <row r="92" spans="2:6" x14ac:dyDescent="0.25">
      <c r="B92" s="6"/>
      <c r="C92" s="6"/>
      <c r="D92" s="138"/>
      <c r="E92" s="6"/>
      <c r="F92" s="6"/>
    </row>
    <row r="93" spans="2:6" x14ac:dyDescent="0.25">
      <c r="B93" s="6"/>
      <c r="C93" s="6"/>
      <c r="D93" s="138"/>
      <c r="E93" s="6"/>
      <c r="F93" s="6"/>
    </row>
    <row r="94" spans="2:6" x14ac:dyDescent="0.25">
      <c r="B94" s="6"/>
      <c r="C94" s="6"/>
      <c r="D94" s="138"/>
      <c r="E94" s="6"/>
      <c r="F94" s="6"/>
    </row>
    <row r="95" spans="2:6" x14ac:dyDescent="0.25">
      <c r="B95" s="6"/>
      <c r="C95" s="6"/>
      <c r="D95" s="138"/>
      <c r="E95" s="6"/>
      <c r="F95" s="6"/>
    </row>
    <row r="96" spans="2:6" x14ac:dyDescent="0.25">
      <c r="B96" s="6"/>
      <c r="C96" s="6"/>
      <c r="D96" s="138"/>
      <c r="E96" s="6"/>
      <c r="F96" s="6"/>
    </row>
    <row r="97" spans="2:6" x14ac:dyDescent="0.25">
      <c r="B97" s="6"/>
      <c r="C97" s="6"/>
      <c r="D97" s="138"/>
      <c r="E97" s="6"/>
      <c r="F97" s="6"/>
    </row>
    <row r="98" spans="2:6" x14ac:dyDescent="0.25">
      <c r="B98" s="6"/>
      <c r="C98" s="6"/>
      <c r="D98" s="138"/>
      <c r="E98" s="6"/>
      <c r="F98" s="6"/>
    </row>
    <row r="99" spans="2:6" x14ac:dyDescent="0.25">
      <c r="B99" s="6"/>
      <c r="C99" s="6"/>
      <c r="D99" s="138"/>
      <c r="E99" s="6"/>
      <c r="F99" s="6"/>
    </row>
    <row r="100" spans="2:6" x14ac:dyDescent="0.25">
      <c r="B100" s="6"/>
      <c r="C100" s="6"/>
      <c r="D100" s="138"/>
      <c r="E100" s="6"/>
      <c r="F100" s="6"/>
    </row>
    <row r="101" spans="2:6" x14ac:dyDescent="0.25">
      <c r="B101" s="6"/>
      <c r="C101" s="6"/>
      <c r="D101" s="138"/>
      <c r="E101" s="6"/>
      <c r="F101" s="6"/>
    </row>
    <row r="102" spans="2:6" x14ac:dyDescent="0.25">
      <c r="B102" s="6"/>
      <c r="C102" s="6"/>
      <c r="D102" s="138"/>
      <c r="E102" s="6"/>
      <c r="F102" s="6"/>
    </row>
    <row r="103" spans="2:6" x14ac:dyDescent="0.25">
      <c r="B103" s="6"/>
      <c r="C103" s="6"/>
      <c r="D103" s="138"/>
      <c r="E103" s="6"/>
      <c r="F103" s="6"/>
    </row>
    <row r="104" spans="2:6" x14ac:dyDescent="0.25">
      <c r="B104" s="6"/>
      <c r="C104" s="6"/>
      <c r="D104" s="138"/>
      <c r="E104" s="6"/>
      <c r="F104" s="6"/>
    </row>
    <row r="105" spans="2:6" x14ac:dyDescent="0.25">
      <c r="B105" s="6"/>
      <c r="C105" s="6"/>
      <c r="D105" s="138"/>
      <c r="E105" s="6"/>
      <c r="F105" s="6"/>
    </row>
    <row r="106" spans="2:6" x14ac:dyDescent="0.25">
      <c r="B106" s="6"/>
      <c r="C106" s="6"/>
      <c r="D106" s="138"/>
      <c r="E106" s="6"/>
      <c r="F106" s="6"/>
    </row>
    <row r="107" spans="2:6" x14ac:dyDescent="0.25">
      <c r="B107" s="6"/>
      <c r="C107" s="6"/>
      <c r="D107" s="138"/>
      <c r="E107" s="6"/>
      <c r="F107" s="6"/>
    </row>
    <row r="108" spans="2:6" x14ac:dyDescent="0.25">
      <c r="B108" s="6"/>
      <c r="C108" s="6"/>
      <c r="D108" s="138"/>
      <c r="E108" s="6"/>
      <c r="F108" s="6"/>
    </row>
    <row r="109" spans="2:6" x14ac:dyDescent="0.25">
      <c r="B109" s="6"/>
      <c r="C109" s="6"/>
      <c r="D109" s="138"/>
      <c r="E109" s="6"/>
      <c r="F109" s="6"/>
    </row>
    <row r="110" spans="2:6" x14ac:dyDescent="0.25">
      <c r="B110" s="6"/>
      <c r="C110" s="6"/>
      <c r="D110" s="138"/>
      <c r="E110" s="6"/>
      <c r="F110" s="6"/>
    </row>
    <row r="111" spans="2:6" x14ac:dyDescent="0.25">
      <c r="B111" s="6"/>
      <c r="C111" s="6"/>
      <c r="D111" s="138"/>
      <c r="E111" s="6"/>
      <c r="F111" s="6"/>
    </row>
    <row r="112" spans="2:6" x14ac:dyDescent="0.25">
      <c r="B112" s="6"/>
      <c r="C112" s="6"/>
      <c r="D112" s="138"/>
      <c r="E112" s="6"/>
      <c r="F112" s="6"/>
    </row>
    <row r="113" spans="2:6" x14ac:dyDescent="0.25">
      <c r="B113" s="6"/>
      <c r="C113" s="6"/>
      <c r="D113" s="138"/>
      <c r="E113" s="6"/>
      <c r="F113" s="6"/>
    </row>
    <row r="114" spans="2:6" x14ac:dyDescent="0.25">
      <c r="B114" s="6"/>
      <c r="C114" s="6"/>
      <c r="D114" s="138"/>
      <c r="E114" s="6"/>
      <c r="F114" s="6"/>
    </row>
    <row r="115" spans="2:6" x14ac:dyDescent="0.25">
      <c r="B115" s="6"/>
      <c r="C115" s="6"/>
      <c r="D115" s="138"/>
      <c r="E115" s="6"/>
      <c r="F115" s="6"/>
    </row>
    <row r="116" spans="2:6" x14ac:dyDescent="0.25">
      <c r="B116" s="6"/>
      <c r="C116" s="6"/>
      <c r="D116" s="138"/>
      <c r="E116" s="6"/>
      <c r="F116" s="6"/>
    </row>
    <row r="117" spans="2:6" x14ac:dyDescent="0.25">
      <c r="B117" s="6"/>
      <c r="C117" s="6"/>
      <c r="D117" s="138"/>
      <c r="E117" s="6"/>
      <c r="F117" s="6"/>
    </row>
    <row r="118" spans="2:6" x14ac:dyDescent="0.25">
      <c r="B118" s="6"/>
      <c r="C118" s="6"/>
      <c r="D118" s="138"/>
      <c r="E118" s="6"/>
      <c r="F118" s="6"/>
    </row>
    <row r="119" spans="2:6" x14ac:dyDescent="0.25">
      <c r="B119" s="6"/>
      <c r="C119" s="6"/>
      <c r="D119" s="138"/>
      <c r="E119" s="6"/>
      <c r="F119" s="6"/>
    </row>
    <row r="120" spans="2:6" x14ac:dyDescent="0.25">
      <c r="B120" s="6"/>
      <c r="C120" s="6"/>
      <c r="D120" s="138"/>
      <c r="E120" s="6"/>
      <c r="F120" s="6"/>
    </row>
    <row r="121" spans="2:6" x14ac:dyDescent="0.25">
      <c r="B121" s="6"/>
      <c r="C121" s="6"/>
      <c r="D121" s="138"/>
      <c r="E121" s="6"/>
      <c r="F121" s="6"/>
    </row>
    <row r="122" spans="2:6" x14ac:dyDescent="0.25">
      <c r="B122" s="6"/>
      <c r="C122" s="6"/>
      <c r="D122" s="138"/>
      <c r="E122" s="6"/>
      <c r="F122" s="6"/>
    </row>
    <row r="123" spans="2:6" x14ac:dyDescent="0.25">
      <c r="B123" s="6"/>
      <c r="C123" s="6"/>
      <c r="D123" s="138"/>
      <c r="E123" s="6"/>
      <c r="F123" s="6"/>
    </row>
    <row r="124" spans="2:6" x14ac:dyDescent="0.25">
      <c r="B124" s="6"/>
      <c r="C124" s="6"/>
      <c r="D124" s="138"/>
      <c r="E124" s="6"/>
      <c r="F124" s="6"/>
    </row>
    <row r="125" spans="2:6" x14ac:dyDescent="0.25">
      <c r="B125" s="6"/>
      <c r="C125" s="6"/>
      <c r="D125" s="138"/>
      <c r="E125" s="6"/>
      <c r="F125" s="6"/>
    </row>
    <row r="126" spans="2:6" x14ac:dyDescent="0.25">
      <c r="B126" s="6"/>
      <c r="C126" s="6"/>
      <c r="D126" s="138"/>
      <c r="E126" s="6"/>
      <c r="F126" s="6"/>
    </row>
    <row r="127" spans="2:6" x14ac:dyDescent="0.25">
      <c r="B127" s="6"/>
      <c r="C127" s="6"/>
      <c r="D127" s="138"/>
      <c r="E127" s="6"/>
      <c r="F127" s="6"/>
    </row>
    <row r="128" spans="2:6" x14ac:dyDescent="0.25">
      <c r="B128" s="6"/>
      <c r="C128" s="6"/>
      <c r="D128" s="138"/>
      <c r="E128" s="6"/>
      <c r="F128" s="6"/>
    </row>
    <row r="129" spans="2:6" x14ac:dyDescent="0.25">
      <c r="B129" s="6"/>
      <c r="C129" s="6"/>
      <c r="D129" s="138"/>
      <c r="E129" s="6"/>
      <c r="F129" s="6"/>
    </row>
    <row r="130" spans="2:6" x14ac:dyDescent="0.25">
      <c r="B130" s="6"/>
      <c r="C130" s="6"/>
      <c r="D130" s="138"/>
      <c r="E130" s="6"/>
      <c r="F130" s="6"/>
    </row>
    <row r="131" spans="2:6" x14ac:dyDescent="0.25">
      <c r="B131" s="6"/>
      <c r="C131" s="6"/>
      <c r="D131" s="138"/>
      <c r="E131" s="6"/>
      <c r="F131" s="6"/>
    </row>
    <row r="132" spans="2:6" x14ac:dyDescent="0.25">
      <c r="B132" s="6"/>
      <c r="C132" s="6"/>
      <c r="D132" s="138"/>
      <c r="E132" s="6"/>
      <c r="F132" s="6"/>
    </row>
    <row r="133" spans="2:6" x14ac:dyDescent="0.25">
      <c r="B133" s="6"/>
      <c r="C133" s="6"/>
      <c r="D133" s="138"/>
      <c r="E133" s="6"/>
      <c r="F133" s="6"/>
    </row>
    <row r="134" spans="2:6" x14ac:dyDescent="0.25">
      <c r="B134" s="6"/>
      <c r="C134" s="6"/>
      <c r="D134" s="138"/>
      <c r="E134" s="6"/>
      <c r="F134" s="6"/>
    </row>
    <row r="135" spans="2:6" x14ac:dyDescent="0.25">
      <c r="B135" s="6"/>
      <c r="C135" s="6"/>
      <c r="D135" s="138"/>
      <c r="E135" s="6"/>
      <c r="F135" s="6"/>
    </row>
    <row r="136" spans="2:6" x14ac:dyDescent="0.25">
      <c r="B136" s="6"/>
      <c r="C136" s="6"/>
      <c r="D136" s="138"/>
      <c r="E136" s="6"/>
      <c r="F136" s="6"/>
    </row>
    <row r="137" spans="2:6" x14ac:dyDescent="0.25">
      <c r="B137" s="6"/>
      <c r="C137" s="6"/>
      <c r="D137" s="138"/>
      <c r="E137" s="6"/>
      <c r="F137" s="6"/>
    </row>
    <row r="138" spans="2:6" x14ac:dyDescent="0.25">
      <c r="B138" s="6"/>
      <c r="C138" s="6"/>
      <c r="D138" s="138"/>
      <c r="E138" s="6"/>
      <c r="F138" s="6"/>
    </row>
    <row r="139" spans="2:6" x14ac:dyDescent="0.25">
      <c r="B139" s="6"/>
      <c r="C139" s="6"/>
      <c r="D139" s="138"/>
      <c r="E139" s="6"/>
      <c r="F139" s="6"/>
    </row>
    <row r="140" spans="2:6" x14ac:dyDescent="0.25">
      <c r="B140" s="6"/>
      <c r="C140" s="6"/>
      <c r="D140" s="138"/>
      <c r="E140" s="6"/>
      <c r="F140" s="6"/>
    </row>
    <row r="141" spans="2:6" x14ac:dyDescent="0.25">
      <c r="B141" s="6"/>
      <c r="C141" s="6"/>
      <c r="D141" s="138"/>
      <c r="E141" s="6"/>
      <c r="F141" s="6"/>
    </row>
    <row r="142" spans="2:6" x14ac:dyDescent="0.25">
      <c r="B142" s="6"/>
      <c r="C142" s="6"/>
      <c r="D142" s="138"/>
      <c r="E142" s="6"/>
      <c r="F142" s="6"/>
    </row>
    <row r="143" spans="2:6" x14ac:dyDescent="0.25">
      <c r="B143" s="6"/>
      <c r="C143" s="6"/>
      <c r="D143" s="138"/>
      <c r="E143" s="6"/>
      <c r="F143" s="6"/>
    </row>
    <row r="144" spans="2:6" x14ac:dyDescent="0.25">
      <c r="B144" s="6"/>
      <c r="C144" s="6"/>
      <c r="D144" s="138"/>
      <c r="E144" s="6"/>
      <c r="F144" s="6"/>
    </row>
    <row r="145" spans="2:6" x14ac:dyDescent="0.25">
      <c r="B145" s="6"/>
      <c r="C145" s="6"/>
      <c r="D145" s="138"/>
      <c r="E145" s="6"/>
      <c r="F145" s="6"/>
    </row>
    <row r="146" spans="2:6" x14ac:dyDescent="0.25">
      <c r="B146" s="6"/>
      <c r="C146" s="6"/>
      <c r="D146" s="138"/>
      <c r="E146" s="6"/>
      <c r="F146" s="6"/>
    </row>
    <row r="147" spans="2:6" x14ac:dyDescent="0.25">
      <c r="B147" s="6"/>
      <c r="C147" s="6"/>
      <c r="D147" s="138"/>
      <c r="E147" s="6"/>
      <c r="F147" s="6"/>
    </row>
    <row r="148" spans="2:6" x14ac:dyDescent="0.25">
      <c r="B148" s="6"/>
      <c r="C148" s="6"/>
      <c r="D148" s="138"/>
      <c r="E148" s="6"/>
      <c r="F148" s="6"/>
    </row>
    <row r="149" spans="2:6" x14ac:dyDescent="0.25">
      <c r="B149" s="6"/>
      <c r="C149" s="6"/>
      <c r="D149" s="138"/>
      <c r="E149" s="6"/>
      <c r="F149" s="6"/>
    </row>
    <row r="150" spans="2:6" x14ac:dyDescent="0.25">
      <c r="B150" s="6"/>
      <c r="C150" s="6"/>
      <c r="D150" s="138"/>
      <c r="E150" s="6"/>
      <c r="F150" s="6"/>
    </row>
    <row r="151" spans="2:6" x14ac:dyDescent="0.25">
      <c r="B151" s="6"/>
      <c r="C151" s="6"/>
      <c r="D151" s="138"/>
      <c r="E151" s="6"/>
      <c r="F151" s="6"/>
    </row>
    <row r="152" spans="2:6" x14ac:dyDescent="0.25">
      <c r="B152" s="6"/>
      <c r="C152" s="6"/>
      <c r="D152" s="138"/>
      <c r="E152" s="6"/>
      <c r="F152" s="6"/>
    </row>
    <row r="153" spans="2:6" x14ac:dyDescent="0.25">
      <c r="B153" s="6"/>
      <c r="C153" s="6"/>
      <c r="D153" s="138"/>
      <c r="E153" s="6"/>
      <c r="F153" s="6"/>
    </row>
    <row r="154" spans="2:6" x14ac:dyDescent="0.25">
      <c r="B154" s="6"/>
      <c r="C154" s="6"/>
      <c r="D154" s="138"/>
      <c r="E154" s="6"/>
      <c r="F154" s="6"/>
    </row>
    <row r="155" spans="2:6" x14ac:dyDescent="0.25">
      <c r="B155" s="6"/>
      <c r="C155" s="6"/>
      <c r="D155" s="138"/>
      <c r="E155" s="6"/>
      <c r="F155" s="6"/>
    </row>
    <row r="156" spans="2:6" x14ac:dyDescent="0.25">
      <c r="B156" s="6"/>
      <c r="C156" s="6"/>
      <c r="D156" s="138"/>
      <c r="E156" s="6"/>
      <c r="F156" s="6"/>
    </row>
    <row r="157" spans="2:6" x14ac:dyDescent="0.25">
      <c r="B157" s="6"/>
      <c r="C157" s="6"/>
      <c r="D157" s="138"/>
      <c r="E157" s="6"/>
      <c r="F157" s="6"/>
    </row>
    <row r="158" spans="2:6" x14ac:dyDescent="0.25">
      <c r="B158" s="6"/>
      <c r="C158" s="6"/>
      <c r="D158" s="138"/>
      <c r="E158" s="6"/>
      <c r="F158" s="6"/>
    </row>
    <row r="159" spans="2:6" x14ac:dyDescent="0.25">
      <c r="B159" s="6"/>
      <c r="C159" s="6"/>
      <c r="D159" s="138"/>
      <c r="E159" s="6"/>
      <c r="F159" s="6"/>
    </row>
    <row r="160" spans="2:6" x14ac:dyDescent="0.25">
      <c r="B160" s="6"/>
      <c r="C160" s="6"/>
      <c r="D160" s="138"/>
      <c r="E160" s="6"/>
      <c r="F160" s="6"/>
    </row>
    <row r="161" spans="2:6" x14ac:dyDescent="0.25">
      <c r="B161" s="6"/>
      <c r="C161" s="6"/>
      <c r="D161" s="138"/>
      <c r="E161" s="6"/>
      <c r="F161" s="6"/>
    </row>
    <row r="162" spans="2:6" x14ac:dyDescent="0.25">
      <c r="B162" s="6"/>
      <c r="C162" s="6"/>
      <c r="D162" s="138"/>
      <c r="E162" s="6"/>
      <c r="F162" s="6"/>
    </row>
    <row r="163" spans="2:6" x14ac:dyDescent="0.25">
      <c r="B163" s="6"/>
      <c r="C163" s="6"/>
      <c r="D163" s="138"/>
      <c r="E163" s="6"/>
      <c r="F163" s="6"/>
    </row>
    <row r="164" spans="2:6" x14ac:dyDescent="0.25">
      <c r="B164" s="6"/>
      <c r="C164" s="6"/>
      <c r="D164" s="138"/>
      <c r="E164" s="6"/>
      <c r="F164" s="6"/>
    </row>
    <row r="165" spans="2:6" x14ac:dyDescent="0.25">
      <c r="B165" s="6"/>
      <c r="C165" s="6"/>
      <c r="D165" s="138"/>
      <c r="E165" s="6"/>
      <c r="F165" s="6"/>
    </row>
    <row r="166" spans="2:6" x14ac:dyDescent="0.25">
      <c r="B166" s="6"/>
      <c r="C166" s="6"/>
      <c r="D166" s="138"/>
      <c r="E166" s="6"/>
      <c r="F166" s="6"/>
    </row>
    <row r="167" spans="2:6" x14ac:dyDescent="0.25">
      <c r="B167" s="6"/>
      <c r="C167" s="6"/>
      <c r="D167" s="138"/>
      <c r="E167" s="6"/>
      <c r="F167" s="6"/>
    </row>
    <row r="168" spans="2:6" x14ac:dyDescent="0.25">
      <c r="B168" s="6"/>
      <c r="C168" s="6"/>
      <c r="D168" s="138"/>
      <c r="E168" s="6"/>
      <c r="F168" s="6"/>
    </row>
    <row r="169" spans="2:6" x14ac:dyDescent="0.25">
      <c r="B169" s="6"/>
      <c r="C169" s="6"/>
      <c r="D169" s="138"/>
      <c r="E169" s="6"/>
      <c r="F169" s="6"/>
    </row>
    <row r="170" spans="2:6" x14ac:dyDescent="0.25">
      <c r="B170" s="6"/>
      <c r="C170" s="6"/>
      <c r="D170" s="138"/>
      <c r="E170" s="6"/>
      <c r="F170" s="6"/>
    </row>
    <row r="171" spans="2:6" x14ac:dyDescent="0.25">
      <c r="B171" s="6"/>
      <c r="C171" s="6"/>
      <c r="D171" s="138"/>
      <c r="E171" s="6"/>
      <c r="F171" s="6"/>
    </row>
    <row r="172" spans="2:6" x14ac:dyDescent="0.25">
      <c r="B172" s="6"/>
      <c r="C172" s="6"/>
      <c r="D172" s="138"/>
      <c r="E172" s="6"/>
      <c r="F172" s="6"/>
    </row>
    <row r="173" spans="2:6" x14ac:dyDescent="0.25">
      <c r="B173" s="6"/>
      <c r="C173" s="6"/>
      <c r="D173" s="138"/>
      <c r="E173" s="6"/>
      <c r="F173" s="6"/>
    </row>
    <row r="174" spans="2:6" x14ac:dyDescent="0.25">
      <c r="B174" s="6"/>
      <c r="C174" s="6"/>
      <c r="D174" s="138"/>
      <c r="E174" s="6"/>
      <c r="F174" s="6"/>
    </row>
    <row r="175" spans="2:6" x14ac:dyDescent="0.25">
      <c r="B175" s="6"/>
      <c r="C175" s="6"/>
      <c r="D175" s="138"/>
      <c r="E175" s="6"/>
      <c r="F175" s="6"/>
    </row>
    <row r="176" spans="2:6" x14ac:dyDescent="0.25">
      <c r="B176" s="6"/>
      <c r="C176" s="6"/>
      <c r="D176" s="138"/>
      <c r="E176" s="6"/>
      <c r="F176" s="6"/>
    </row>
    <row r="177" spans="2:6" x14ac:dyDescent="0.25">
      <c r="B177" s="6"/>
      <c r="C177" s="6"/>
      <c r="D177" s="138"/>
      <c r="E177" s="6"/>
      <c r="F177" s="6"/>
    </row>
    <row r="178" spans="2:6" x14ac:dyDescent="0.25">
      <c r="B178" s="6"/>
      <c r="C178" s="6"/>
      <c r="D178" s="138"/>
      <c r="E178" s="6"/>
      <c r="F178" s="6"/>
    </row>
    <row r="179" spans="2:6" x14ac:dyDescent="0.25">
      <c r="B179" s="6"/>
      <c r="C179" s="6"/>
      <c r="D179" s="138"/>
      <c r="E179" s="6"/>
      <c r="F179" s="6"/>
    </row>
    <row r="180" spans="2:6" x14ac:dyDescent="0.25">
      <c r="B180" s="6"/>
      <c r="C180" s="6"/>
      <c r="D180" s="138"/>
      <c r="E180" s="6"/>
      <c r="F180" s="6"/>
    </row>
    <row r="181" spans="2:6" x14ac:dyDescent="0.25">
      <c r="B181" s="6"/>
      <c r="C181" s="6"/>
      <c r="D181" s="138"/>
      <c r="E181" s="6"/>
      <c r="F181" s="6"/>
    </row>
    <row r="182" spans="2:6" x14ac:dyDescent="0.25">
      <c r="B182" s="6"/>
      <c r="C182" s="6"/>
      <c r="D182" s="138"/>
      <c r="E182" s="6"/>
      <c r="F182" s="6"/>
    </row>
    <row r="183" spans="2:6" x14ac:dyDescent="0.25">
      <c r="B183" s="6"/>
      <c r="C183" s="6"/>
      <c r="D183" s="138"/>
      <c r="E183" s="6"/>
      <c r="F183" s="6"/>
    </row>
    <row r="184" spans="2:6" x14ac:dyDescent="0.25">
      <c r="B184" s="6"/>
      <c r="C184" s="6"/>
      <c r="D184" s="138"/>
      <c r="E184" s="6"/>
      <c r="F184" s="6"/>
    </row>
    <row r="185" spans="2:6" x14ac:dyDescent="0.25">
      <c r="B185" s="6"/>
      <c r="C185" s="6"/>
      <c r="D185" s="138"/>
      <c r="E185" s="6"/>
      <c r="F185" s="6"/>
    </row>
    <row r="186" spans="2:6" x14ac:dyDescent="0.25">
      <c r="B186" s="6"/>
      <c r="C186" s="6"/>
      <c r="D186" s="138"/>
      <c r="E186" s="6"/>
      <c r="F186" s="6"/>
    </row>
    <row r="187" spans="2:6" x14ac:dyDescent="0.25">
      <c r="B187" s="6"/>
      <c r="C187" s="6"/>
      <c r="D187" s="138"/>
      <c r="E187" s="6"/>
      <c r="F187" s="6"/>
    </row>
    <row r="188" spans="2:6" x14ac:dyDescent="0.25">
      <c r="B188" s="6"/>
      <c r="C188" s="6"/>
      <c r="D188" s="138"/>
      <c r="E188" s="6"/>
      <c r="F188" s="6"/>
    </row>
    <row r="189" spans="2:6" x14ac:dyDescent="0.25">
      <c r="B189" s="6"/>
      <c r="C189" s="6"/>
      <c r="D189" s="138"/>
      <c r="E189" s="6"/>
      <c r="F189" s="6"/>
    </row>
    <row r="190" spans="2:6" x14ac:dyDescent="0.25">
      <c r="B190" s="6"/>
      <c r="C190" s="6"/>
      <c r="D190" s="138"/>
      <c r="E190" s="6"/>
      <c r="F190" s="6"/>
    </row>
    <row r="191" spans="2:6" x14ac:dyDescent="0.25">
      <c r="B191" s="6"/>
      <c r="C191" s="6"/>
      <c r="D191" s="138"/>
      <c r="E191" s="6"/>
      <c r="F191" s="6"/>
    </row>
    <row r="192" spans="2:6" x14ac:dyDescent="0.25">
      <c r="B192" s="6"/>
      <c r="C192" s="6"/>
      <c r="D192" s="138"/>
      <c r="E192" s="6"/>
      <c r="F192" s="6"/>
    </row>
    <row r="193" spans="2:6" x14ac:dyDescent="0.25">
      <c r="B193" s="6"/>
      <c r="C193" s="6"/>
      <c r="D193" s="138"/>
      <c r="E193" s="6"/>
      <c r="F193" s="6"/>
    </row>
    <row r="194" spans="2:6" x14ac:dyDescent="0.25">
      <c r="B194" s="6"/>
      <c r="C194" s="6"/>
      <c r="D194" s="138"/>
      <c r="E194" s="6"/>
      <c r="F194" s="6"/>
    </row>
    <row r="195" spans="2:6" x14ac:dyDescent="0.25">
      <c r="B195" s="6"/>
      <c r="C195" s="6"/>
      <c r="D195" s="138"/>
      <c r="E195" s="6"/>
      <c r="F195" s="6"/>
    </row>
    <row r="196" spans="2:6" x14ac:dyDescent="0.25">
      <c r="B196" s="6"/>
      <c r="C196" s="6"/>
      <c r="D196" s="138"/>
      <c r="E196" s="6"/>
      <c r="F196" s="6"/>
    </row>
    <row r="197" spans="2:6" x14ac:dyDescent="0.25">
      <c r="B197" s="6"/>
      <c r="C197" s="6"/>
      <c r="D197" s="138"/>
      <c r="E197" s="6"/>
      <c r="F197" s="6"/>
    </row>
    <row r="198" spans="2:6" x14ac:dyDescent="0.25">
      <c r="B198" s="6"/>
      <c r="C198" s="6"/>
      <c r="D198" s="138"/>
      <c r="E198" s="6"/>
      <c r="F198" s="6"/>
    </row>
    <row r="199" spans="2:6" x14ac:dyDescent="0.25">
      <c r="B199" s="6"/>
      <c r="C199" s="6"/>
      <c r="D199" s="138"/>
      <c r="E199" s="6"/>
      <c r="F199" s="6"/>
    </row>
    <row r="200" spans="2:6" x14ac:dyDescent="0.25">
      <c r="B200" s="6"/>
      <c r="C200" s="6"/>
      <c r="D200" s="138"/>
      <c r="E200" s="6"/>
      <c r="F200" s="6"/>
    </row>
    <row r="201" spans="2:6" x14ac:dyDescent="0.25">
      <c r="B201" s="6"/>
      <c r="C201" s="6"/>
      <c r="D201" s="138"/>
      <c r="E201" s="6"/>
      <c r="F201" s="6"/>
    </row>
    <row r="202" spans="2:6" x14ac:dyDescent="0.25">
      <c r="B202" s="6"/>
      <c r="C202" s="6"/>
      <c r="D202" s="138"/>
      <c r="E202" s="6"/>
      <c r="F202" s="6"/>
    </row>
    <row r="203" spans="2:6" x14ac:dyDescent="0.25">
      <c r="B203" s="6"/>
      <c r="C203" s="6"/>
      <c r="D203" s="138"/>
      <c r="E203" s="6"/>
      <c r="F203" s="6"/>
    </row>
    <row r="204" spans="2:6" x14ac:dyDescent="0.25">
      <c r="B204" s="6"/>
      <c r="C204" s="6"/>
      <c r="D204" s="138"/>
      <c r="E204" s="6"/>
      <c r="F204" s="6"/>
    </row>
    <row r="205" spans="2:6" x14ac:dyDescent="0.25">
      <c r="B205" s="6"/>
      <c r="C205" s="6"/>
      <c r="D205" s="138"/>
      <c r="E205" s="6"/>
      <c r="F205" s="6"/>
    </row>
    <row r="206" spans="2:6" x14ac:dyDescent="0.25">
      <c r="B206" s="6"/>
      <c r="C206" s="6"/>
      <c r="D206" s="138"/>
      <c r="E206" s="6"/>
      <c r="F206" s="6"/>
    </row>
    <row r="207" spans="2:6" x14ac:dyDescent="0.25">
      <c r="B207" s="6"/>
      <c r="C207" s="6"/>
      <c r="D207" s="138"/>
      <c r="E207" s="6"/>
      <c r="F207" s="6"/>
    </row>
    <row r="208" spans="2:6" x14ac:dyDescent="0.25">
      <c r="B208" s="6"/>
      <c r="C208" s="6"/>
      <c r="D208" s="138"/>
      <c r="E208" s="6"/>
      <c r="F208" s="6"/>
    </row>
    <row r="209" spans="2:6" x14ac:dyDescent="0.25">
      <c r="B209" s="6"/>
      <c r="C209" s="6"/>
      <c r="D209" s="138"/>
      <c r="E209" s="6"/>
      <c r="F209" s="6"/>
    </row>
    <row r="210" spans="2:6" x14ac:dyDescent="0.25">
      <c r="B210" s="6"/>
      <c r="C210" s="6"/>
      <c r="D210" s="138"/>
      <c r="E210" s="6"/>
      <c r="F210" s="6"/>
    </row>
    <row r="211" spans="2:6" x14ac:dyDescent="0.25">
      <c r="B211" s="6"/>
      <c r="C211" s="6"/>
      <c r="D211" s="138"/>
      <c r="E211" s="6"/>
      <c r="F211" s="6"/>
    </row>
    <row r="212" spans="2:6" x14ac:dyDescent="0.25">
      <c r="B212" s="6"/>
      <c r="C212" s="6"/>
      <c r="D212" s="138"/>
      <c r="E212" s="6"/>
      <c r="F212" s="6"/>
    </row>
    <row r="213" spans="2:6" x14ac:dyDescent="0.25">
      <c r="B213" s="6"/>
      <c r="C213" s="6"/>
      <c r="D213" s="138"/>
      <c r="E213" s="6"/>
      <c r="F213" s="6"/>
    </row>
    <row r="214" spans="2:6" x14ac:dyDescent="0.25">
      <c r="B214" s="6"/>
      <c r="C214" s="6"/>
      <c r="D214" s="138"/>
      <c r="E214" s="6"/>
      <c r="F214" s="6"/>
    </row>
    <row r="215" spans="2:6" x14ac:dyDescent="0.25">
      <c r="B215" s="6"/>
      <c r="C215" s="6"/>
      <c r="D215" s="138"/>
      <c r="E215" s="6"/>
      <c r="F215" s="6"/>
    </row>
    <row r="216" spans="2:6" x14ac:dyDescent="0.25">
      <c r="B216" s="6"/>
      <c r="C216" s="6"/>
      <c r="D216" s="138"/>
      <c r="E216" s="6"/>
      <c r="F216" s="6"/>
    </row>
    <row r="217" spans="2:6" x14ac:dyDescent="0.25">
      <c r="B217" s="6"/>
      <c r="C217" s="6"/>
      <c r="D217" s="138"/>
      <c r="E217" s="6"/>
      <c r="F217" s="6"/>
    </row>
    <row r="218" spans="2:6" x14ac:dyDescent="0.25">
      <c r="B218" s="6"/>
      <c r="C218" s="6"/>
      <c r="D218" s="138"/>
      <c r="E218" s="6"/>
      <c r="F218" s="6"/>
    </row>
    <row r="219" spans="2:6" x14ac:dyDescent="0.25">
      <c r="B219" s="6"/>
      <c r="C219" s="6"/>
      <c r="D219" s="138"/>
      <c r="E219" s="6"/>
      <c r="F219" s="6"/>
    </row>
    <row r="220" spans="2:6" x14ac:dyDescent="0.25">
      <c r="B220" s="6"/>
      <c r="C220" s="6"/>
      <c r="D220" s="138"/>
      <c r="E220" s="6"/>
      <c r="F220" s="6"/>
    </row>
    <row r="221" spans="2:6" x14ac:dyDescent="0.25">
      <c r="B221" s="6"/>
      <c r="C221" s="6"/>
      <c r="D221" s="138"/>
      <c r="E221" s="6"/>
      <c r="F221" s="6"/>
    </row>
    <row r="222" spans="2:6" x14ac:dyDescent="0.25">
      <c r="B222" s="6"/>
      <c r="C222" s="6"/>
      <c r="D222" s="138"/>
      <c r="E222" s="6"/>
      <c r="F222" s="6"/>
    </row>
    <row r="223" spans="2:6" x14ac:dyDescent="0.25">
      <c r="B223" s="6"/>
      <c r="C223" s="6"/>
      <c r="D223" s="138"/>
      <c r="E223" s="6"/>
      <c r="F223" s="6"/>
    </row>
    <row r="224" spans="2:6" x14ac:dyDescent="0.25">
      <c r="B224" s="6"/>
      <c r="C224" s="6"/>
      <c r="D224" s="138"/>
      <c r="E224" s="6"/>
      <c r="F224" s="6"/>
    </row>
    <row r="225" spans="2:6" x14ac:dyDescent="0.25">
      <c r="B225" s="6"/>
      <c r="C225" s="6"/>
      <c r="D225" s="138"/>
      <c r="E225" s="6"/>
      <c r="F225" s="6"/>
    </row>
    <row r="226" spans="2:6" x14ac:dyDescent="0.25">
      <c r="B226" s="6"/>
      <c r="C226" s="6"/>
      <c r="D226" s="138"/>
      <c r="E226" s="6"/>
      <c r="F226" s="6"/>
    </row>
    <row r="227" spans="2:6" x14ac:dyDescent="0.25">
      <c r="B227" s="6"/>
      <c r="C227" s="6"/>
      <c r="D227" s="138"/>
      <c r="E227" s="6"/>
      <c r="F227" s="6"/>
    </row>
    <row r="228" spans="2:6" x14ac:dyDescent="0.25">
      <c r="B228" s="6"/>
      <c r="C228" s="6"/>
      <c r="D228" s="138"/>
      <c r="E228" s="6"/>
      <c r="F228" s="6"/>
    </row>
    <row r="229" spans="2:6" x14ac:dyDescent="0.25">
      <c r="B229" s="6"/>
      <c r="C229" s="6"/>
      <c r="D229" s="138"/>
      <c r="E229" s="6"/>
      <c r="F229" s="6"/>
    </row>
    <row r="230" spans="2:6" x14ac:dyDescent="0.25">
      <c r="B230" s="6"/>
      <c r="C230" s="6"/>
      <c r="D230" s="138"/>
      <c r="E230" s="6"/>
      <c r="F230" s="6"/>
    </row>
    <row r="231" spans="2:6" x14ac:dyDescent="0.25">
      <c r="B231" s="6"/>
      <c r="C231" s="6"/>
      <c r="D231" s="138"/>
      <c r="E231" s="6"/>
      <c r="F231" s="6"/>
    </row>
    <row r="232" spans="2:6" x14ac:dyDescent="0.25">
      <c r="B232" s="6"/>
      <c r="C232" s="6"/>
      <c r="D232" s="138"/>
      <c r="E232" s="6"/>
      <c r="F232" s="6"/>
    </row>
    <row r="233" spans="2:6" x14ac:dyDescent="0.25">
      <c r="B233" s="6"/>
      <c r="C233" s="6"/>
      <c r="D233" s="138"/>
      <c r="E233" s="6"/>
      <c r="F233" s="6"/>
    </row>
    <row r="234" spans="2:6" x14ac:dyDescent="0.25">
      <c r="B234" s="6"/>
      <c r="C234" s="6"/>
      <c r="D234" s="138"/>
      <c r="E234" s="6"/>
      <c r="F234" s="6"/>
    </row>
    <row r="235" spans="2:6" x14ac:dyDescent="0.25">
      <c r="B235" s="6"/>
      <c r="C235" s="6"/>
      <c r="D235" s="138"/>
      <c r="E235" s="6"/>
      <c r="F235" s="6"/>
    </row>
    <row r="236" spans="2:6" x14ac:dyDescent="0.25">
      <c r="B236" s="6"/>
      <c r="C236" s="6"/>
      <c r="D236" s="138"/>
      <c r="E236" s="6"/>
      <c r="F236" s="6"/>
    </row>
    <row r="237" spans="2:6" x14ac:dyDescent="0.25">
      <c r="B237" s="6"/>
      <c r="C237" s="6"/>
      <c r="D237" s="138"/>
      <c r="E237" s="6"/>
      <c r="F237" s="6"/>
    </row>
    <row r="238" spans="2:6" x14ac:dyDescent="0.25">
      <c r="B238" s="6"/>
      <c r="C238" s="6"/>
      <c r="D238" s="138"/>
      <c r="E238" s="6"/>
      <c r="F238" s="6"/>
    </row>
    <row r="239" spans="2:6" x14ac:dyDescent="0.25">
      <c r="B239" s="6"/>
      <c r="C239" s="6"/>
      <c r="D239" s="138"/>
      <c r="E239" s="6"/>
      <c r="F239" s="6"/>
    </row>
    <row r="240" spans="2:6" x14ac:dyDescent="0.25">
      <c r="B240" s="6"/>
      <c r="C240" s="6"/>
      <c r="D240" s="138"/>
      <c r="E240" s="6"/>
      <c r="F240" s="6"/>
    </row>
    <row r="241" spans="2:6" x14ac:dyDescent="0.25">
      <c r="B241" s="6"/>
      <c r="C241" s="6"/>
      <c r="D241" s="138"/>
      <c r="E241" s="6"/>
      <c r="F241" s="6"/>
    </row>
    <row r="242" spans="2:6" x14ac:dyDescent="0.25">
      <c r="B242" s="6"/>
      <c r="C242" s="6"/>
      <c r="D242" s="138"/>
      <c r="E242" s="6"/>
      <c r="F242" s="6"/>
    </row>
    <row r="243" spans="2:6" x14ac:dyDescent="0.25">
      <c r="B243" s="6"/>
      <c r="C243" s="6"/>
      <c r="D243" s="138"/>
      <c r="E243" s="6"/>
      <c r="F243" s="6"/>
    </row>
    <row r="244" spans="2:6" x14ac:dyDescent="0.25">
      <c r="B244" s="6"/>
      <c r="C244" s="6"/>
      <c r="D244" s="138"/>
      <c r="E244" s="6"/>
      <c r="F244" s="6"/>
    </row>
    <row r="245" spans="2:6" x14ac:dyDescent="0.25">
      <c r="B245" s="6"/>
      <c r="C245" s="6"/>
      <c r="D245" s="138"/>
      <c r="E245" s="6"/>
      <c r="F245" s="6"/>
    </row>
    <row r="246" spans="2:6" x14ac:dyDescent="0.25">
      <c r="B246" s="6"/>
      <c r="C246" s="6"/>
      <c r="D246" s="138"/>
      <c r="E246" s="6"/>
      <c r="F246" s="6"/>
    </row>
    <row r="247" spans="2:6" x14ac:dyDescent="0.25">
      <c r="B247" s="6"/>
      <c r="C247" s="6"/>
      <c r="D247" s="138"/>
      <c r="E247" s="6"/>
      <c r="F247" s="6"/>
    </row>
    <row r="248" spans="2:6" x14ac:dyDescent="0.25">
      <c r="B248" s="6"/>
      <c r="C248" s="6"/>
      <c r="D248" s="138"/>
      <c r="E248" s="6"/>
      <c r="F248" s="6"/>
    </row>
    <row r="249" spans="2:6" x14ac:dyDescent="0.25">
      <c r="B249" s="6"/>
      <c r="C249" s="6"/>
      <c r="D249" s="138"/>
      <c r="E249" s="6"/>
      <c r="F249" s="6"/>
    </row>
    <row r="250" spans="2:6" x14ac:dyDescent="0.25">
      <c r="B250" s="6"/>
      <c r="C250" s="6"/>
      <c r="D250" s="138"/>
      <c r="E250" s="6"/>
      <c r="F250" s="6"/>
    </row>
  </sheetData>
  <mergeCells count="14">
    <mergeCell ref="B2:K2"/>
    <mergeCell ref="B3:K3"/>
    <mergeCell ref="B5:F5"/>
    <mergeCell ref="H5:K5"/>
    <mergeCell ref="B6:F6"/>
    <mergeCell ref="J6:K6"/>
    <mergeCell ref="B7:F7"/>
    <mergeCell ref="J7:K7"/>
    <mergeCell ref="B8:F8"/>
    <mergeCell ref="J8:K8"/>
    <mergeCell ref="B9:F9"/>
    <mergeCell ref="J9:K9"/>
    <mergeCell ref="H17:K17"/>
    <mergeCell ref="H27:K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1" t="s">
        <v>301</v>
      </c>
      <c r="C2" s="1"/>
      <c r="D2" s="1"/>
      <c r="E2" s="1"/>
      <c r="F2" s="1"/>
      <c r="G2" s="1"/>
      <c r="H2" s="1"/>
    </row>
    <row r="3" ht="18" customHeight="1" spans="2:8" x14ac:dyDescent="0.25">
      <c r="B3" s="33" t="s">
        <v>302</v>
      </c>
      <c r="C3" s="33"/>
      <c r="D3" s="33"/>
      <c r="E3" s="33"/>
      <c r="F3" s="33"/>
      <c r="G3" s="33"/>
      <c r="H3" s="33"/>
    </row>
    <row r="5" ht="22" customHeight="1" spans="2:8" x14ac:dyDescent="0.25">
      <c r="B5" s="87" t="s">
        <v>303</v>
      </c>
      <c r="C5" s="87" t="s">
        <v>304</v>
      </c>
      <c r="D5" s="87" t="s">
        <v>305</v>
      </c>
      <c r="E5" s="87" t="s">
        <v>306</v>
      </c>
      <c r="F5" s="87" t="s">
        <v>307</v>
      </c>
      <c r="G5" s="87" t="s">
        <v>308</v>
      </c>
      <c r="H5" s="87" t="s">
        <v>309</v>
      </c>
    </row>
    <row r="6" ht="20" customHeight="1" spans="2:8" x14ac:dyDescent="0.25">
      <c r="B6" s="6" t="s">
        <v>310</v>
      </c>
      <c r="C6" s="37">
        <v>25000</v>
      </c>
      <c r="D6" s="37">
        <v>21500</v>
      </c>
      <c r="E6" s="37">
        <f>C6-D6</f>
      </c>
      <c r="F6" s="6" t="s">
        <v>89</v>
      </c>
      <c r="G6" s="37">
        <v>700</v>
      </c>
      <c r="H6" s="42">
        <f>D6/C6</f>
      </c>
    </row>
    <row r="7" ht="20" customHeight="1" spans="2:8" x14ac:dyDescent="0.25">
      <c r="B7" s="62" t="s">
        <v>311</v>
      </c>
      <c r="C7" s="44">
        <v>2000</v>
      </c>
      <c r="D7" s="44">
        <v>1400</v>
      </c>
      <c r="E7" s="44">
        <f>C7-D7</f>
      </c>
      <c r="F7" s="62" t="s">
        <v>91</v>
      </c>
      <c r="G7" s="44">
        <v>150</v>
      </c>
      <c r="H7" s="47">
        <f>D7/C7</f>
      </c>
    </row>
    <row r="8" ht="20" customHeight="1" spans="2:8" x14ac:dyDescent="0.25">
      <c r="B8" s="6" t="s">
        <v>312</v>
      </c>
      <c r="C8" s="37">
        <v>4500</v>
      </c>
      <c r="D8" s="37">
        <v>2800</v>
      </c>
      <c r="E8" s="37">
        <f>C8-D8</f>
      </c>
      <c r="F8" s="6" t="s">
        <v>95</v>
      </c>
      <c r="G8" s="37">
        <v>250</v>
      </c>
      <c r="H8" s="42">
        <f>D8/C8</f>
      </c>
    </row>
    <row r="9" ht="20" customHeight="1" spans="2:8" x14ac:dyDescent="0.25">
      <c r="B9" s="62" t="s">
        <v>313</v>
      </c>
      <c r="C9" s="44">
        <v>1500</v>
      </c>
      <c r="D9" s="44">
        <v>750</v>
      </c>
      <c r="E9" s="44">
        <f>C9-D9</f>
      </c>
      <c r="F9" s="62" t="s">
        <v>94</v>
      </c>
      <c r="G9" s="44">
        <v>125</v>
      </c>
      <c r="H9" s="47">
        <f>D9/C9</f>
      </c>
    </row>
    <row r="10" ht="20" customHeight="1" spans="2:8" x14ac:dyDescent="0.25">
      <c r="B10" s="6" t="s">
        <v>314</v>
      </c>
      <c r="C10" s="37">
        <v>3500</v>
      </c>
      <c r="D10" s="37">
        <v>1800</v>
      </c>
      <c r="E10" s="37">
        <f>C10-D10</f>
      </c>
      <c r="F10" s="6" t="s">
        <v>93</v>
      </c>
      <c r="G10" s="37">
        <v>250</v>
      </c>
      <c r="H10" s="42">
        <f>D10/C10</f>
      </c>
    </row>
    <row r="11" ht="22" customHeight="1" spans="2:8" x14ac:dyDescent="0.25">
      <c r="B11" s="48" t="s">
        <v>315</v>
      </c>
      <c r="C11" s="49">
        <f>SUM(C6:C10)</f>
      </c>
      <c r="D11" s="49">
        <f>SUM(D6:D10)</f>
      </c>
      <c r="E11" s="49">
        <f>SUM(E6:E10)</f>
      </c>
      <c r="F11" s="48" t="s">
        <v>316</v>
      </c>
      <c r="G11" s="49">
        <f>SUM(G6:G10)</f>
      </c>
      <c r="H11" s="139">
        <f>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140" t="s">
        <v>317</v>
      </c>
      <c r="C2" s="140"/>
      <c r="D2" s="140"/>
      <c r="E2" s="140"/>
    </row>
    <row r="4" spans="2:5" x14ac:dyDescent="0.25">
      <c r="B4" s="3" t="s">
        <v>318</v>
      </c>
      <c r="C4" s="3"/>
      <c r="D4" s="3"/>
      <c r="E4" s="3"/>
    </row>
    <row r="5" ht="19" customHeight="1" spans="2:3" x14ac:dyDescent="0.25">
      <c r="B5" s="6" t="s">
        <v>319</v>
      </c>
      <c r="C5" s="141">
        <v>32</v>
      </c>
    </row>
    <row r="6" ht="19" customHeight="1" spans="2:3" x14ac:dyDescent="0.25">
      <c r="B6" s="6" t="s">
        <v>320</v>
      </c>
      <c r="C6" s="142">
        <v>66000</v>
      </c>
    </row>
    <row r="7" ht="19" customHeight="1" spans="2:3" x14ac:dyDescent="0.25">
      <c r="B7" s="6" t="s">
        <v>321</v>
      </c>
      <c r="C7" s="143">
        <v>0.04</v>
      </c>
    </row>
    <row r="8" ht="19" customHeight="1" spans="2:3" x14ac:dyDescent="0.25">
      <c r="B8" s="6" t="s">
        <v>322</v>
      </c>
      <c r="C8" s="143">
        <v>0.07</v>
      </c>
    </row>
    <row r="9" ht="19" customHeight="1" spans="2:3" x14ac:dyDescent="0.25">
      <c r="B9" s="6" t="s">
        <v>323</v>
      </c>
      <c r="C9" s="142">
        <f>'2-Min Check-In'!D18</f>
      </c>
    </row>
    <row r="10" ht="19" customHeight="1" spans="2:3" x14ac:dyDescent="0.25">
      <c r="B10" s="6" t="s">
        <v>324</v>
      </c>
      <c r="C10" s="142">
        <f>'Smart Budget (50-30-20)'!D27</f>
      </c>
    </row>
    <row r="12" spans="2:5" x14ac:dyDescent="0.25">
      <c r="B12" s="88" t="s">
        <v>325</v>
      </c>
      <c r="C12" s="88"/>
      <c r="D12" s="88"/>
      <c r="E12" s="88"/>
    </row>
    <row r="13" ht="20" customHeight="1" spans="2:4" x14ac:dyDescent="0.25">
      <c r="B13" s="6" t="s">
        <v>326</v>
      </c>
      <c r="C13" s="142">
        <f>C6*0.65/C7</f>
      </c>
      <c r="D13" s="144" t="s">
        <v>327</v>
      </c>
    </row>
    <row r="14" ht="20" customHeight="1" spans="2:4" x14ac:dyDescent="0.25">
      <c r="B14" s="6" t="s">
        <v>328</v>
      </c>
      <c r="C14" s="142">
        <f>C6/C7</f>
      </c>
      <c r="D14" s="144" t="s">
        <v>329</v>
      </c>
    </row>
    <row r="15" ht="20" customHeight="1" spans="2:4" x14ac:dyDescent="0.25">
      <c r="B15" s="6" t="s">
        <v>330</v>
      </c>
      <c r="C15" s="142">
        <f>C6*1.4/C7</f>
      </c>
      <c r="D15" s="144" t="s">
        <v>331</v>
      </c>
    </row>
    <row r="16" ht="20" customHeight="1" spans="2:4" x14ac:dyDescent="0.25">
      <c r="B16" s="6" t="s">
        <v>332</v>
      </c>
      <c r="C16" s="142">
        <f>(C6/C7)/(1+C8)^(60-C5)</f>
      </c>
      <c r="D16" s="144" t="s">
        <v>333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140" t="s">
        <v>334</v>
      </c>
      <c r="C2" s="140"/>
      <c r="D2" s="140"/>
      <c r="E2" s="140"/>
      <c r="F2" s="140"/>
    </row>
    <row r="4" ht="20" customHeight="1" spans="2:6" x14ac:dyDescent="0.25">
      <c r="B4" s="61" t="s">
        <v>335</v>
      </c>
      <c r="C4" s="61" t="s">
        <v>305</v>
      </c>
      <c r="D4" s="61" t="s">
        <v>336</v>
      </c>
      <c r="E4" s="61" t="s">
        <v>337</v>
      </c>
      <c r="F4" s="61" t="s">
        <v>338</v>
      </c>
    </row>
    <row r="5" ht="19" customHeight="1" spans="2:6" x14ac:dyDescent="0.25">
      <c r="B5" s="6" t="s">
        <v>339</v>
      </c>
      <c r="C5" s="37">
        <v>4200</v>
      </c>
      <c r="D5" s="145">
        <v>0.2499</v>
      </c>
      <c r="E5" s="37">
        <v>140</v>
      </c>
      <c r="F5" s="6" t="s">
        <v>340</v>
      </c>
    </row>
    <row r="6" ht="19" customHeight="1" spans="2:6" x14ac:dyDescent="0.25">
      <c r="B6" s="6" t="s">
        <v>341</v>
      </c>
      <c r="C6" s="37">
        <v>8500</v>
      </c>
      <c r="D6" s="145">
        <v>0.115</v>
      </c>
      <c r="E6" s="37">
        <v>210</v>
      </c>
      <c r="F6" s="6" t="s">
        <v>342</v>
      </c>
    </row>
    <row r="7" ht="19" customHeight="1" spans="2:6" x14ac:dyDescent="0.25">
      <c r="B7" s="6" t="s">
        <v>343</v>
      </c>
      <c r="C7" s="37">
        <v>17400</v>
      </c>
      <c r="D7" s="145">
        <v>0.059</v>
      </c>
      <c r="E7" s="37">
        <v>380</v>
      </c>
      <c r="F7" s="6" t="s">
        <v>344</v>
      </c>
    </row>
    <row r="8" ht="19" customHeight="1" spans="2:6" x14ac:dyDescent="0.25">
      <c r="B8" s="6" t="s">
        <v>345</v>
      </c>
      <c r="C8" s="37">
        <v>200000</v>
      </c>
      <c r="D8" s="145">
        <v>0.035</v>
      </c>
      <c r="E8" s="37">
        <v>1670</v>
      </c>
      <c r="F8" s="6" t="s">
        <v>346</v>
      </c>
    </row>
    <row r="9" ht="20" customHeight="1" spans="2:6" x14ac:dyDescent="0.25">
      <c r="B9" s="89" t="s">
        <v>347</v>
      </c>
      <c r="C9" s="90">
        <f>SUM(C5:C8)</f>
      </c>
      <c r="D9" s="146">
        <f>AVERAGE(D5:D8)</f>
      </c>
      <c r="E9" s="90">
        <f>SUM(E5:E8)</f>
      </c>
      <c r="F9" s="89" t="s">
        <v>348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6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140" t="s">
        <v>349</v>
      </c>
      <c r="C2" s="140"/>
      <c r="D2" s="140"/>
      <c r="E2" s="140"/>
      <c r="F2" s="140"/>
      <c r="G2" s="140"/>
      <c r="H2" s="140"/>
    </row>
    <row r="4" ht="20" customHeight="1" spans="2:8" x14ac:dyDescent="0.25">
      <c r="B4" s="61" t="s">
        <v>350</v>
      </c>
      <c r="C4" s="61" t="s">
        <v>351</v>
      </c>
      <c r="D4" s="61" t="s">
        <v>352</v>
      </c>
      <c r="E4" s="61" t="s">
        <v>353</v>
      </c>
      <c r="F4" s="61" t="s">
        <v>354</v>
      </c>
      <c r="G4" s="61" t="s">
        <v>355</v>
      </c>
      <c r="H4" s="61" t="s">
        <v>356</v>
      </c>
    </row>
    <row r="5" ht="19" customHeight="1" spans="2:8" x14ac:dyDescent="0.25">
      <c r="B5" s="6" t="s">
        <v>357</v>
      </c>
      <c r="C5" s="37">
        <v>4800</v>
      </c>
      <c r="D5" s="37">
        <v>39000</v>
      </c>
      <c r="E5" s="37">
        <v>145000</v>
      </c>
      <c r="F5" s="37">
        <v>380000</v>
      </c>
      <c r="G5" s="37">
        <v>750000</v>
      </c>
      <c r="H5" s="37">
        <v>2800000</v>
      </c>
    </row>
    <row r="6" ht="19" customHeight="1" spans="2:8" x14ac:dyDescent="0.25">
      <c r="B6" s="62" t="s">
        <v>358</v>
      </c>
      <c r="C6" s="44">
        <v>35000</v>
      </c>
      <c r="D6" s="44">
        <v>135600</v>
      </c>
      <c r="E6" s="44">
        <v>420000</v>
      </c>
      <c r="F6" s="44">
        <v>980000</v>
      </c>
      <c r="G6" s="44">
        <v>1850000</v>
      </c>
      <c r="H6" s="44">
        <v>5500000</v>
      </c>
    </row>
    <row r="7" ht="19" customHeight="1" spans="2:8" x14ac:dyDescent="0.25">
      <c r="B7" s="6" t="s">
        <v>359</v>
      </c>
      <c r="C7" s="37">
        <v>68000</v>
      </c>
      <c r="D7" s="37">
        <v>247200</v>
      </c>
      <c r="E7" s="37">
        <v>780000</v>
      </c>
      <c r="F7" s="37">
        <v>1950000</v>
      </c>
      <c r="G7" s="37">
        <v>3400000</v>
      </c>
      <c r="H7" s="37">
        <v>10200000</v>
      </c>
    </row>
    <row r="8" ht="19" customHeight="1" spans="2:8" x14ac:dyDescent="0.25">
      <c r="B8" s="62" t="s">
        <v>360</v>
      </c>
      <c r="C8" s="44">
        <v>95000</v>
      </c>
      <c r="D8" s="44">
        <v>364500</v>
      </c>
      <c r="E8" s="44">
        <v>1150000</v>
      </c>
      <c r="F8" s="44">
        <v>2800000</v>
      </c>
      <c r="G8" s="44">
        <v>4900000</v>
      </c>
      <c r="H8" s="44">
        <v>14500000</v>
      </c>
    </row>
    <row r="9" ht="19" customHeight="1" spans="2:8" x14ac:dyDescent="0.25">
      <c r="B9" s="6" t="s">
        <v>361</v>
      </c>
      <c r="C9" s="37">
        <v>110000</v>
      </c>
      <c r="D9" s="37">
        <v>409900</v>
      </c>
      <c r="E9" s="37">
        <v>1350000</v>
      </c>
      <c r="F9" s="37">
        <v>3200000</v>
      </c>
      <c r="G9" s="37">
        <v>5600000</v>
      </c>
      <c r="H9" s="37">
        <v>16800000</v>
      </c>
    </row>
    <row r="10" ht="19" customHeight="1" spans="2:8" x14ac:dyDescent="0.25">
      <c r="B10" s="62" t="s">
        <v>362</v>
      </c>
      <c r="C10" s="44">
        <v>92000</v>
      </c>
      <c r="D10" s="44">
        <v>335600</v>
      </c>
      <c r="E10" s="44">
        <v>1050000</v>
      </c>
      <c r="F10" s="44">
        <v>2600000</v>
      </c>
      <c r="G10" s="44">
        <v>4700000</v>
      </c>
      <c r="H10" s="44">
        <v>13200000</v>
      </c>
    </row>
    <row r="13" ht="24" customHeight="1" spans="2:8" x14ac:dyDescent="0.25">
      <c r="B13" s="147" t="s">
        <v>363</v>
      </c>
      <c r="C13" s="147"/>
      <c r="D13" s="147"/>
      <c r="E13" s="147"/>
      <c r="F13" s="147"/>
      <c r="G13" s="147"/>
      <c r="H13" s="147"/>
    </row>
    <row r="14" ht="20" customHeight="1" spans="2:8" x14ac:dyDescent="0.25">
      <c r="B14" s="61" t="s">
        <v>364</v>
      </c>
      <c r="C14" s="61" t="s">
        <v>365</v>
      </c>
      <c r="D14" s="61" t="s">
        <v>366</v>
      </c>
      <c r="E14" s="61" t="s">
        <v>367</v>
      </c>
      <c r="F14" s="61" t="s">
        <v>368</v>
      </c>
      <c r="G14" s="61" t="s">
        <v>369</v>
      </c>
      <c r="H14" s="61" t="s">
        <v>370</v>
      </c>
    </row>
    <row r="15" ht="19" customHeight="1" spans="2:8" x14ac:dyDescent="0.25">
      <c r="B15" s="6" t="s">
        <v>371</v>
      </c>
      <c r="C15" s="37">
        <v>285000</v>
      </c>
      <c r="D15" s="37">
        <v>1250000</v>
      </c>
      <c r="E15" s="6" t="s">
        <v>372</v>
      </c>
      <c r="F15" s="37">
        <v>785000</v>
      </c>
      <c r="G15" s="6" t="s">
        <v>373</v>
      </c>
      <c r="H15" s="6" t="s">
        <v>374</v>
      </c>
    </row>
    <row r="16" ht="19" customHeight="1" spans="2:8" x14ac:dyDescent="0.25">
      <c r="B16" s="62" t="s">
        <v>375</v>
      </c>
      <c r="C16" s="44">
        <v>245000</v>
      </c>
      <c r="D16" s="44">
        <v>1180000</v>
      </c>
      <c r="E16" s="62" t="s">
        <v>376</v>
      </c>
      <c r="F16" s="44">
        <v>650000</v>
      </c>
      <c r="G16" s="62" t="s">
        <v>373</v>
      </c>
      <c r="H16" s="62" t="s">
        <v>377</v>
      </c>
    </row>
    <row r="17" ht="19" customHeight="1" spans="2:8" x14ac:dyDescent="0.25">
      <c r="B17" s="6" t="s">
        <v>378</v>
      </c>
      <c r="C17" s="37">
        <v>275000</v>
      </c>
      <c r="D17" s="37">
        <v>1200000</v>
      </c>
      <c r="E17" s="6" t="s">
        <v>379</v>
      </c>
      <c r="F17" s="37">
        <v>610000</v>
      </c>
      <c r="G17" s="6" t="s">
        <v>373</v>
      </c>
      <c r="H17" s="6" t="s">
        <v>380</v>
      </c>
    </row>
    <row r="18" ht="19" customHeight="1" spans="2:8" x14ac:dyDescent="0.25">
      <c r="B18" s="62" t="s">
        <v>381</v>
      </c>
      <c r="C18" s="44">
        <v>175000</v>
      </c>
      <c r="D18" s="44">
        <v>820000</v>
      </c>
      <c r="E18" s="62" t="s">
        <v>382</v>
      </c>
      <c r="F18" s="44">
        <v>345000</v>
      </c>
      <c r="G18" s="62" t="s">
        <v>383</v>
      </c>
      <c r="H18" s="62" t="s">
        <v>384</v>
      </c>
    </row>
    <row r="19" ht="19" customHeight="1" spans="2:8" x14ac:dyDescent="0.25">
      <c r="B19" s="6" t="s">
        <v>385</v>
      </c>
      <c r="C19" s="37">
        <v>195000</v>
      </c>
      <c r="D19" s="37">
        <v>890000</v>
      </c>
      <c r="E19" s="6" t="s">
        <v>386</v>
      </c>
      <c r="F19" s="37">
        <v>395000</v>
      </c>
      <c r="G19" s="6" t="s">
        <v>387</v>
      </c>
      <c r="H19" s="6" t="s">
        <v>388</v>
      </c>
    </row>
    <row r="20" ht="19" customHeight="1" spans="2:8" x14ac:dyDescent="0.25">
      <c r="B20" s="62" t="s">
        <v>389</v>
      </c>
      <c r="C20" s="44">
        <v>295000</v>
      </c>
      <c r="D20" s="44">
        <v>1320000</v>
      </c>
      <c r="E20" s="62" t="s">
        <v>390</v>
      </c>
      <c r="F20" s="44">
        <v>640000</v>
      </c>
      <c r="G20" s="62" t="s">
        <v>373</v>
      </c>
      <c r="H20" s="62" t="s">
        <v>391</v>
      </c>
    </row>
    <row r="21" ht="19" customHeight="1" spans="2:8" x14ac:dyDescent="0.25">
      <c r="B21" s="6" t="s">
        <v>392</v>
      </c>
      <c r="C21" s="37">
        <v>185000</v>
      </c>
      <c r="D21" s="37">
        <v>860000</v>
      </c>
      <c r="E21" s="6" t="s">
        <v>393</v>
      </c>
      <c r="F21" s="37">
        <v>275000</v>
      </c>
      <c r="G21" s="6" t="s">
        <v>383</v>
      </c>
      <c r="H21" s="6" t="s">
        <v>394</v>
      </c>
    </row>
    <row r="22" ht="19" customHeight="1" spans="2:8" x14ac:dyDescent="0.25">
      <c r="B22" s="62" t="s">
        <v>395</v>
      </c>
      <c r="C22" s="44">
        <v>260000</v>
      </c>
      <c r="D22" s="44">
        <v>1100000</v>
      </c>
      <c r="E22" s="62" t="s">
        <v>396</v>
      </c>
      <c r="F22" s="44">
        <v>550000</v>
      </c>
      <c r="G22" s="62" t="s">
        <v>397</v>
      </c>
      <c r="H22" s="62" t="s">
        <v>398</v>
      </c>
    </row>
    <row r="25" ht="24" customHeight="1" spans="2:8" x14ac:dyDescent="0.25">
      <c r="B25" s="148" t="s">
        <v>399</v>
      </c>
      <c r="C25" s="148"/>
      <c r="D25" s="148"/>
      <c r="E25" s="148"/>
      <c r="F25" s="148"/>
      <c r="G25" s="148"/>
      <c r="H25" s="148"/>
    </row>
    <row r="26" ht="20" customHeight="1" spans="2:8" x14ac:dyDescent="0.25">
      <c r="B26" s="61" t="s">
        <v>400</v>
      </c>
      <c r="C26" s="61" t="s">
        <v>401</v>
      </c>
      <c r="D26" s="61" t="s">
        <v>402</v>
      </c>
      <c r="E26" s="61" t="s">
        <v>403</v>
      </c>
      <c r="F26" s="61" t="s">
        <v>404</v>
      </c>
      <c r="G26" s="61" t="s">
        <v>405</v>
      </c>
      <c r="H26" s="61" t="s">
        <v>406</v>
      </c>
    </row>
    <row r="27" ht="19" customHeight="1" spans="2:8" x14ac:dyDescent="0.25">
      <c r="B27" s="6" t="s">
        <v>407</v>
      </c>
      <c r="C27" s="149">
        <v>1</v>
      </c>
      <c r="D27" s="37">
        <v>100000</v>
      </c>
      <c r="E27" s="37">
        <v>150000</v>
      </c>
      <c r="F27" s="6" t="s">
        <v>408</v>
      </c>
      <c r="G27" s="6" t="s">
        <v>409</v>
      </c>
      <c r="H27" s="6" t="s">
        <v>410</v>
      </c>
    </row>
    <row r="28" ht="19" customHeight="1" spans="2:8" x14ac:dyDescent="0.25">
      <c r="B28" s="62" t="s">
        <v>411</v>
      </c>
      <c r="C28" s="150">
        <v>2</v>
      </c>
      <c r="D28" s="44">
        <v>200000</v>
      </c>
      <c r="E28" s="44">
        <v>300000</v>
      </c>
      <c r="F28" s="62" t="s">
        <v>412</v>
      </c>
      <c r="G28" s="62" t="s">
        <v>409</v>
      </c>
      <c r="H28" s="62" t="s">
        <v>410</v>
      </c>
    </row>
    <row r="29" ht="19" customHeight="1" spans="2:8" x14ac:dyDescent="0.25">
      <c r="B29" s="6" t="s">
        <v>413</v>
      </c>
      <c r="C29" s="149">
        <v>3</v>
      </c>
      <c r="D29" s="37">
        <v>300000</v>
      </c>
      <c r="E29" s="37">
        <v>450000</v>
      </c>
      <c r="F29" s="6" t="s">
        <v>414</v>
      </c>
      <c r="G29" s="6" t="s">
        <v>409</v>
      </c>
      <c r="H29" s="6" t="s">
        <v>410</v>
      </c>
    </row>
    <row r="30" ht="19" customHeight="1" spans="2:8" x14ac:dyDescent="0.25">
      <c r="B30" s="62" t="s">
        <v>415</v>
      </c>
      <c r="C30" s="150">
        <v>4</v>
      </c>
      <c r="D30" s="44">
        <v>400000</v>
      </c>
      <c r="E30" s="44">
        <v>600000</v>
      </c>
      <c r="F30" s="62" t="s">
        <v>416</v>
      </c>
      <c r="G30" s="62" t="s">
        <v>409</v>
      </c>
      <c r="H30" s="62" t="s">
        <v>410</v>
      </c>
    </row>
    <row r="31" ht="19" customHeight="1" spans="2:8" x14ac:dyDescent="0.25">
      <c r="B31" s="6" t="s">
        <v>417</v>
      </c>
      <c r="C31" s="149">
        <v>6</v>
      </c>
      <c r="D31" s="37">
        <v>600000</v>
      </c>
      <c r="E31" s="37">
        <v>900000</v>
      </c>
      <c r="F31" s="6" t="s">
        <v>418</v>
      </c>
      <c r="G31" s="6" t="s">
        <v>409</v>
      </c>
      <c r="H31" s="6" t="s">
        <v>410</v>
      </c>
    </row>
    <row r="32" ht="19" customHeight="1" spans="2:8" x14ac:dyDescent="0.25">
      <c r="B32" s="62" t="s">
        <v>419</v>
      </c>
      <c r="C32" s="150">
        <v>7</v>
      </c>
      <c r="D32" s="44">
        <v>700000</v>
      </c>
      <c r="E32" s="44">
        <v>1050000</v>
      </c>
      <c r="F32" s="62" t="s">
        <v>420</v>
      </c>
      <c r="G32" s="62" t="s">
        <v>409</v>
      </c>
      <c r="H32" s="62" t="s">
        <v>410</v>
      </c>
    </row>
    <row r="33" ht="19" customHeight="1" spans="2:8" x14ac:dyDescent="0.25">
      <c r="B33" s="6" t="s">
        <v>421</v>
      </c>
      <c r="C33" s="149">
        <v>8</v>
      </c>
      <c r="D33" s="37">
        <v>800000</v>
      </c>
      <c r="E33" s="37">
        <v>1200000</v>
      </c>
      <c r="F33" s="6" t="s">
        <v>422</v>
      </c>
      <c r="G33" s="6" t="s">
        <v>409</v>
      </c>
      <c r="H33" s="6" t="s">
        <v>410</v>
      </c>
    </row>
    <row r="34" ht="19" customHeight="1" spans="2:8" x14ac:dyDescent="0.25">
      <c r="B34" s="62" t="s">
        <v>423</v>
      </c>
      <c r="C34" s="150">
        <v>10</v>
      </c>
      <c r="D34" s="44">
        <v>1000000</v>
      </c>
      <c r="E34" s="44">
        <v>1500000</v>
      </c>
      <c r="F34" s="62" t="s">
        <v>424</v>
      </c>
      <c r="G34" s="62" t="s">
        <v>409</v>
      </c>
      <c r="H34" s="62" t="s">
        <v>410</v>
      </c>
    </row>
    <row r="36" ht="22" customHeight="1" spans="2:8" x14ac:dyDescent="0.25">
      <c r="B36" s="83" t="s">
        <v>425</v>
      </c>
      <c r="C36" s="83"/>
      <c r="D36" s="83"/>
      <c r="E36" s="83"/>
      <c r="F36" s="83"/>
      <c r="G36" s="83"/>
      <c r="H36" s="83"/>
    </row>
  </sheetData>
  <mergeCells count="4">
    <mergeCell ref="B2:H2"/>
    <mergeCell ref="B13:H13"/>
    <mergeCell ref="B25:H25"/>
    <mergeCell ref="B36:H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START HERE</vt:lpstr>
      <vt:lpstr>Private Wealth Diagnostic</vt:lpstr>
      <vt:lpstr>2-Min Check-In</vt:lpstr>
      <vt:lpstr>Executive Dashboard</vt:lpstr>
      <vt:lpstr>Smart Budget (50-30-20)</vt:lpstr>
      <vt:lpstr>Statement &amp; Expense Ledger</vt:lpstr>
      <vt:lpstr>Sinking Funds Shield</vt:lpstr>
      <vt:lpstr>FIRE Freedom Engine</vt:lpstr>
      <vt:lpstr>Debt Avalanche &amp; Snowball</vt:lpstr>
      <vt:lpstr>Fed &amp; State Benchmarks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GetNetWorth Analytics Team</dc:creator>
  <dc:title/>
  <dc:subject/>
  <dc:description/>
  <cp:keywords/>
  <cp:category/>
  <cp:lastModifiedBy>GetNetWorth Analytics Team</cp:lastModifiedBy>
  <dcterms:created xsi:type="dcterms:W3CDTF">2026-10-22T15:49:20Z</dcterms:created>
  <dcterms:modified xsi:type="dcterms:W3CDTF">2026-10-22T15:49:20Z</dcterms:modified>
</cp:coreProperties>
</file>