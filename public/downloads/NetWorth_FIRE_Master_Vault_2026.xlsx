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🟢 START HERE (60-Sec Guide)" state="visible" r:id="rId4"/>
    <sheet sheetId="2" name="⚡ 2-Min Quick Check-In" state="visible" r:id="rId5"/>
    <sheet sheetId="3" name="📊 Executive Dashboard" state="visible" r:id="rId6"/>
    <sheet sheetId="4" name="💸 Smart Budget (50-30-20)" state="visible" r:id="rId7"/>
    <sheet sheetId="5" name="🎯 Sinking Funds Shield" state="visible" r:id="rId8"/>
    <sheet sheetId="6" name="🔥 FIRE Freedom Engine" state="visible" r:id="rId9"/>
    <sheet sheetId="7" name="💳 Debt Avalanche &amp; Snowball" state="visible" r:id="rId10"/>
    <sheet sheetId="8" name="🏛️ Fed Benchmarks (SCF)" state="visible" r:id="rId11"/>
  </sheets>
  <calcPr calcId="171027"/>
</workbook>
</file>

<file path=xl/sharedStrings.xml><?xml version="1.0" encoding="utf-8"?>
<sst xmlns="http://schemas.openxmlformats.org/spreadsheetml/2006/main" count="196" uniqueCount="188">
  <si>
    <t>👋 WELCOME TO YOUR PRIVATE WEALTH &amp; BUDGET OPERATING SYSTEM</t>
  </si>
  <si>
    <t>Designed for normal humans, not CPAs. Zero homework, zero broken formulas, 100% private &amp; offline.</t>
  </si>
  <si>
    <t>🚀 THE 3-STEP MONTHLY ROUTINE (TAKES 2 MINUTES ON THE 1ST OF EACH MONTH)</t>
  </si>
  <si>
    <t>Step 1: Open Tab 2</t>
  </si>
  <si>
    <t>Click '⚡ 2-Min Quick Check-In'</t>
  </si>
  <si>
    <t>On the 1st of every month, open the second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</si>
  <si>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</si>
  <si>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</si>
  <si>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</si>
  <si>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</si>
  <si>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</si>
  <si>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</si>
  <si>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</si>
  <si>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</si>
  <si>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</si>
  <si>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</si>
  <si>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</si>
  <si>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</si>
  <si>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</si>
  <si>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</si>
  <si>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</si>
  <si>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</si>
  <si>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</si>
  <si>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⚡ 2-Min Quick Check-In</t>
  </si>
  <si>
    <t>For 90% of months: Type 4 numbers once a month in 90 seconds. Zero homework.</t>
  </si>
  <si>
    <t>📊 Executive Dashboard</t>
  </si>
  <si>
    <t>Bloomberg-style visual terminal showing Net Worth, Fed rank, and quarterly progress.</t>
  </si>
  <si>
    <t>💸 Smart Budget (50/30/20)</t>
  </si>
  <si>
    <t>Answers: 'How much can I spend today guilt-free?' (Needs 50%, Wants 30%, Wealth 20%).</t>
  </si>
  <si>
    <t>🎯 Sinking Funds Shield</t>
  </si>
  <si>
    <t>Prevents budget shock from car repairs, holiday travel, and annual insurance renewals.</t>
  </si>
  <si>
    <t>🔥 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</si>
  <si>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</si>
  <si>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</si>
  <si>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</si>
  <si>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Benchmarks (SCF)</t>
  </si>
  <si>
    <t>Official US Federal Reserve Survey of Consumer Finances raw microdata tables.</t>
  </si>
  <si>
    <t>💡 Using Google Sheets? Just drag and drop this file into Google Drive and click "Open with Google Sheets". It converts in 2 seconds with 100% of formulas intact.</t>
  </si>
  <si>
    <t>⚡ 2-MINUTE MONTHLY QUICK CHECK-IN (NO HOMEWORK, NO OVERWHELM)</t>
  </si>
  <si>
    <t>Rule of Thumb: On the 1st of each month, type just 4 numbers (green headers). Everything else calculates automatically.</t>
  </si>
  <si>
    <t>Month</t>
  </si>
  <si>
    <t>💵 Cash &amp; Savings</t>
  </si>
  <si>
    <t>📈 Invested Portfolio</t>
  </si>
  <si>
    <t>🏠 Property &amp; Assets</t>
  </si>
  <si>
    <t>💳 Total Debts</t>
  </si>
  <si>
    <t>🏛️ NET WORTH</t>
  </si>
  <si>
    <t>MoM Gain ($)</t>
  </si>
  <si>
    <t>MoM Growth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</si>
  <si>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</si>
  <si>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</si>
  <si>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</si>
  <si>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</si>
  <si>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</si>
  <si>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</si>
  <si>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</si>
  <si>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</si>
  <si>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</si>
  <si>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</si>
  <si>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</si>
  <si>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</si>
  <si>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</si>
  <si>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NET WORTH &amp; FINANCIAL INDEPENDENCE MASTER VAULT (2026 EDITION)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</si>
  <si>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</si>
  <si>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</si>
  <si>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</si>
  <si>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</si>
  <si>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</si>
  <si>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</si>
  <si>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</si>
  <si>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</si>
  <si>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</si>
  <si>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</si>
  <si>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</si>
  <si>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</si>
  <si>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</si>
  <si>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</si>
  <si>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</si>
  <si>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</si>
  <si>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</si>
  <si>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</si>
  <si>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</si>
  <si>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</si>
  <si>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</si>
  <si>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</si>
  <si>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</si>
  <si>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</si>
  <si>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</si>
  <si>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</si>
  <si>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</si>
  <si>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</si>
  <si>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</si>
  <si>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</si>
  <si>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</si>
  <si>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💸 SMART MONTHLY CASH FLOW &amp; 50/30/20 BUDGET ENGINE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</si>
  <si>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</si>
  <si>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</si>
  <si>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</si>
  <si>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</si>
  <si>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</si>
  <si>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</si>
  <si>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</si>
  <si>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</si>
  <si>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</si>
  <si>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</si>
  <si>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</si>
  <si>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</si>
  <si>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</si>
  <si>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</si>
  <si>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</si>
  <si>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</si>
  <si>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</si>
  <si>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</si>
  <si>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</si>
  <si>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</si>
  <si>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</si>
  <si>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</si>
  <si>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</si>
  <si>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</si>
  <si>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</si>
  <si>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</si>
  <si>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</si>
  <si>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</si>
  <si>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</si>
  <si>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</si>
  <si>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</si>
  <si>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</si>
  <si>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</si>
  <si>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</si>
  <si>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</si>
  <si>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</si>
  <si>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</si>
  <si>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</si>
  <si>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</si>
  <si>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</si>
  <si>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</si>
  <si>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</si>
  <si>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</si>
  <si>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</si>
  <si>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</si>
  <si>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</si>
  <si>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</si>
  <si>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</si>
  <si>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(TRINITY STUDY)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</si>
  <si>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</si>
  <si>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</si>
  <si>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</si>
  <si>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</si>
  <si>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</si>
  <si>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</si>
  <si>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</si>
  <si>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</si>
  <si>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</si>
  <si>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</si>
  <si>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</si>
  <si>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</si>
  <si>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</si>
  <si>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</si>
  <si>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</si>
  <si>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</si>
  <si>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MATHEMATICAL AVALANCHE VS BEHAVIORAL SNOWBALL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</si>
  <si>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</si>
  <si>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</si>
  <si>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</si>
  <si>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</si>
  <si>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</si>
  <si>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</si>
  <si>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</si>
  <si>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</si>
  <si>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</si>
  <si>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</si>
  <si>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</si>
  <si>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</si>
  <si>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</si>
  <si>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</si>
  <si>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SURVEY OF CONSUMER FINANCES (SCF) BENCHMARK DATA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</si>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</sst>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$#,##0"/>
    <numFmt numFmtId="165" formatCode="+$#,##0;-$#,##0;$0"/>
    <numFmt numFmtId="166" formatCode="+0.0%;-0.0%;0.0%"/>
    <numFmt numFmtId="167" formatCode="$#,##0/day"/>
    <numFmt numFmtId="168" formatCode="0.0%"/>
  </numFmts>
  <fonts count="29" x14ac:knownFonts="1">
    <font>
      <color theme="1"/>
      <family val="2"/>
      <scheme val="minor"/>
      <sz val="11"/>
      <name val="Calibri"/>
    </font>
    <font>
      <b/>
      <color rgb="FFFFFFFF"/>
      <sz val="13"/>
      <name val="Arial"/>
    </font>
    <font>
      <i/>
      <color rgb="FFCBD5E1"/>
      <sz val="9.5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i/>
      <color rgb="FF065F46"/>
      <sz val="9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  <name val="Arial"/>
    </font>
    <font>
      <b/>
      <sz val="10"/>
      <name val="Arial"/>
    </font>
    <font>
      <b/>
      <color rgb="FF065F46"/>
      <sz val="10"/>
      <name val="Arial"/>
    </font>
    <font>
      <b/>
      <color rgb="FFFFFFFF"/>
    </font>
    <font>
      <i/>
      <color rgb="FF94A3B8"/>
      <sz val="9"/>
      <name val="Arial"/>
    </font>
    <font>
      <b/>
      <color rgb="FF94A3B8"/>
      <sz val="9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11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5"/>
    </font>
    <font>
      <i/>
      <color rgb="FF64748B"/>
      <sz val="9"/>
    </font>
    <font>
      <b/>
      <color rgb="FFFFFFFF"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065F46"/>
      </patternFill>
    </fill>
    <fill>
      <patternFill patternType="solid">
        <fgColor rgb="FFDCFCE7"/>
      </patternFill>
    </fill>
    <fill>
      <patternFill patternType="solid">
        <fgColor rgb="FF04785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3" fillId="2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4" fontId="0" fillId="0" borderId="1" xfId="0" applyNumberFormat="1" applyBorder="1"/>
    <xf numFmtId="164" fontId="13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0" fontId="12" fillId="7" borderId="1" xfId="0" applyFont="1" applyFill="1" applyBorder="1" applyAlignment="1">
      <alignment horizontal="center"/>
    </xf>
    <xf numFmtId="164" fontId="0" fillId="7" borderId="1" xfId="0" applyNumberFormat="1" applyFill="1" applyBorder="1"/>
    <xf numFmtId="165" fontId="0" fillId="7" borderId="1" xfId="0" applyNumberFormat="1" applyFill="1" applyBorder="1"/>
    <xf numFmtId="166" fontId="0" fillId="7" borderId="1" xfId="0" applyNumberFormat="1" applyFill="1" applyBorder="1"/>
    <xf numFmtId="0" fontId="14" fillId="2" borderId="1" xfId="0" applyFont="1" applyFill="1" applyBorder="1"/>
    <xf numFmtId="164" fontId="14" fillId="2" borderId="1" xfId="0" applyNumberFormat="1" applyFont="1" applyFill="1" applyBorder="1"/>
    <xf numFmtId="166" fontId="14" fillId="2" borderId="1" xfId="0" applyNumberFormat="1" applyFont="1" applyFill="1" applyBorder="1"/>
    <xf numFmtId="0" fontId="15" fillId="3" borderId="0" xfId="0" applyFont="1" applyFill="1" applyAlignment="1">
      <alignment horizontal="center" vertical="center"/>
    </xf>
    <xf numFmtId="0" fontId="16" fillId="3" borderId="0" xfId="0" applyFont="1" applyFill="1"/>
    <xf numFmtId="164" fontId="17" fillId="3" borderId="0" xfId="0" applyNumberFormat="1" applyFont="1" applyFill="1" applyAlignment="1">
      <alignment vertical="center"/>
    </xf>
    <xf numFmtId="164" fontId="18" fillId="3" borderId="0" xfId="0" applyNumberFormat="1" applyFont="1" applyFill="1" applyAlignment="1">
      <alignment vertical="center"/>
    </xf>
    <xf numFmtId="0" fontId="19" fillId="3" borderId="0" xfId="0" applyFont="1" applyFill="1" applyAlignment="1">
      <alignment vertical="center"/>
    </xf>
    <xf numFmtId="0" fontId="20" fillId="3" borderId="0" xfId="0" applyFont="1" applyFill="1"/>
    <xf numFmtId="0" fontId="21" fillId="3" borderId="0" xfId="0" applyFont="1" applyFill="1"/>
    <xf numFmtId="0" fontId="22" fillId="2" borderId="0" xfId="0" applyFont="1" applyFill="1"/>
    <xf numFmtId="0" fontId="23" fillId="3" borderId="1" xfId="0" applyFont="1" applyFill="1" applyBorder="1"/>
    <xf numFmtId="0" fontId="0" fillId="7" borderId="1" xfId="0" applyFill="1" applyBorder="1"/>
    <xf numFmtId="0" fontId="24" fillId="3" borderId="0" xfId="0" applyFont="1" applyFill="1"/>
    <xf numFmtId="0" fontId="25" fillId="3" borderId="0" xfId="0" applyFont="1" applyFill="1"/>
    <xf numFmtId="0" fontId="9" fillId="2" borderId="0" xfId="0" applyFont="1" applyFill="1" applyAlignment="1">
      <alignment horizontal="center" vertical="center"/>
    </xf>
    <xf numFmtId="164" fontId="18" fillId="3" borderId="0" xfId="0" applyNumberFormat="1" applyFont="1" applyFill="1"/>
    <xf numFmtId="167" fontId="26" fillId="3" borderId="0" xfId="0" applyNumberFormat="1" applyFont="1" applyFill="1"/>
    <xf numFmtId="0" fontId="23" fillId="2" borderId="1" xfId="0" applyFont="1" applyFill="1" applyBorder="1"/>
    <xf numFmtId="0" fontId="14" fillId="3" borderId="1" xfId="0" applyFont="1" applyFill="1" applyBorder="1"/>
    <xf numFmtId="164" fontId="14" fillId="3" borderId="1" xfId="0" applyNumberFormat="1" applyFont="1" applyFill="1" applyBorder="1"/>
    <xf numFmtId="0" fontId="3" fillId="8" borderId="0" xfId="0" applyFont="1" applyFill="1"/>
    <xf numFmtId="0" fontId="14" fillId="8" borderId="1" xfId="0" applyFont="1" applyFill="1" applyBorder="1"/>
    <xf numFmtId="164" fontId="14" fillId="8" borderId="1" xfId="0" applyNumberFormat="1" applyFont="1" applyFill="1" applyBorder="1"/>
    <xf numFmtId="0" fontId="3" fillId="9" borderId="0" xfId="0" applyFont="1" applyFill="1"/>
    <xf numFmtId="0" fontId="14" fillId="9" borderId="1" xfId="0" applyFont="1" applyFill="1" applyBorder="1"/>
    <xf numFmtId="164" fontId="14" fillId="9" borderId="1" xfId="0" applyNumberFormat="1" applyFont="1" applyFill="1" applyBorder="1"/>
    <xf numFmtId="0" fontId="14" fillId="4" borderId="1" xfId="0" applyFont="1" applyFill="1" applyBorder="1"/>
    <xf numFmtId="164" fontId="14" fillId="4" borderId="1" xfId="0" applyNumberFormat="1" applyFont="1" applyFill="1" applyBorder="1"/>
    <xf numFmtId="0" fontId="9" fillId="6" borderId="0" xfId="0" applyFont="1" applyFill="1" applyAlignment="1">
      <alignment horizontal="center" vertical="center"/>
    </xf>
    <xf numFmtId="168" fontId="0" fillId="0" borderId="1" xfId="0" applyNumberFormat="1" applyBorder="1"/>
    <xf numFmtId="168" fontId="0" fillId="7" borderId="1" xfId="0" applyNumberFormat="1" applyFill="1" applyBorder="1"/>
    <xf numFmtId="168" fontId="14" fillId="2" borderId="1" xfId="0" applyNumberFormat="1" applyFont="1" applyFill="1" applyBorder="1"/>
    <xf numFmtId="1" fontId="5" fillId="0" borderId="1" xfId="0" applyNumberFormat="1" applyFont="1" applyBorder="1"/>
    <xf numFmtId="164" fontId="5" fillId="0" borderId="1" xfId="0" applyNumberFormat="1" applyFont="1" applyBorder="1"/>
    <xf numFmtId="168" fontId="5" fillId="0" borderId="1" xfId="0" applyNumberFormat="1" applyFont="1" applyBorder="1"/>
    <xf numFmtId="0" fontId="27" fillId="0" borderId="1" xfId="0" applyFont="1" applyBorder="1"/>
    <xf numFmtId="0" fontId="28" fillId="2" borderId="0" xfId="0" applyFont="1" applyFill="1" applyAlignment="1">
      <alignment horizontal="center" vertical="center"/>
    </xf>
    <xf numFmtId="10" fontId="0" fillId="0" borderId="1" xfId="0" applyNumberFormat="1" applyBorder="1"/>
    <xf numFmtId="10" fontId="14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4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2" customWidth="1"/>
    <col min="4" max="4" width="28" customWidth="1"/>
    <col min="5" max="5" width="4" customWidth="1"/>
  </cols>
  <sheetData>
    <row r="2" ht="32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7" t="s">
        <v>12</v>
      </c>
      <c r="C10" s="7"/>
      <c r="D10" s="7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8" t="s">
        <v>22</v>
      </c>
      <c r="C15" s="8"/>
      <c r="D15" s="8"/>
    </row>
    <row r="16" ht="20" customHeight="1" spans="2:4" x14ac:dyDescent="0.25">
      <c r="B16" s="9" t="s">
        <v>23</v>
      </c>
      <c r="C16" s="10" t="s">
        <v>24</v>
      </c>
      <c r="D16" s="10"/>
    </row>
    <row r="17" ht="20" customHeight="1" spans="2:4" x14ac:dyDescent="0.25">
      <c r="B17" s="9" t="s">
        <v>25</v>
      </c>
      <c r="C17" s="10" t="s">
        <v>26</v>
      </c>
      <c r="D17" s="10"/>
    </row>
    <row r="18" ht="20" customHeight="1" spans="2:4" x14ac:dyDescent="0.25">
      <c r="B18" s="9" t="s">
        <v>27</v>
      </c>
      <c r="C18" s="10" t="s">
        <v>28</v>
      </c>
      <c r="D18" s="10"/>
    </row>
    <row r="19" ht="20" customHeight="1" spans="2:4" x14ac:dyDescent="0.25">
      <c r="B19" s="9" t="s">
        <v>29</v>
      </c>
      <c r="C19" s="10" t="s">
        <v>30</v>
      </c>
      <c r="D19" s="10"/>
    </row>
    <row r="20" ht="20" customHeight="1" spans="2:4" x14ac:dyDescent="0.25">
      <c r="B20" s="9" t="s">
        <v>31</v>
      </c>
      <c r="C20" s="10" t="s">
        <v>32</v>
      </c>
      <c r="D20" s="10"/>
    </row>
    <row r="21" ht="20" customHeight="1" spans="2:4" x14ac:dyDescent="0.25">
      <c r="B21" s="9" t="s">
        <v>33</v>
      </c>
      <c r="C21" s="10" t="s">
        <v>34</v>
      </c>
      <c r="D21" s="10"/>
    </row>
    <row r="22" ht="20" customHeight="1" spans="2:4" x14ac:dyDescent="0.25">
      <c r="B22" s="9" t="s">
        <v>35</v>
      </c>
      <c r="C22" s="10" t="s">
        <v>36</v>
      </c>
      <c r="D22" s="10"/>
    </row>
    <row r="24" ht="26" customHeight="1" spans="2:4" x14ac:dyDescent="0.25">
      <c r="B24" s="11" t="s">
        <v>37</v>
      </c>
      <c r="C24" s="11"/>
      <c r="D24" s="11"/>
    </row>
  </sheetData>
  <mergeCells count="13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4" customWidth="1"/>
  </cols>
  <sheetData>
    <row r="2" ht="28" customHeight="1" spans="2:9" x14ac:dyDescent="0.25">
      <c r="B2" s="12" t="s">
        <v>38</v>
      </c>
      <c r="C2" s="12"/>
      <c r="D2" s="12"/>
      <c r="E2" s="12"/>
      <c r="F2" s="12"/>
      <c r="G2" s="12"/>
      <c r="H2" s="12"/>
      <c r="I2" s="12"/>
    </row>
    <row r="3" ht="20" customHeight="1" spans="2:9" x14ac:dyDescent="0.25">
      <c r="B3" s="13" t="s">
        <v>39</v>
      </c>
      <c r="C3" s="13"/>
      <c r="D3" s="13"/>
      <c r="E3" s="13"/>
      <c r="F3" s="13"/>
      <c r="G3" s="13"/>
      <c r="H3" s="13"/>
      <c r="I3" s="13"/>
    </row>
    <row r="5" ht="24" customHeight="1" spans="2:9" x14ac:dyDescent="0.25">
      <c r="B5" s="14" t="s">
        <v>40</v>
      </c>
      <c r="C5" s="15" t="s">
        <v>41</v>
      </c>
      <c r="D5" s="15" t="s">
        <v>42</v>
      </c>
      <c r="E5" s="15" t="s">
        <v>43</v>
      </c>
      <c r="F5" s="15" t="s">
        <v>44</v>
      </c>
      <c r="G5" s="14" t="s">
        <v>45</v>
      </c>
      <c r="H5" s="14" t="s">
        <v>46</v>
      </c>
      <c r="I5" s="14" t="s">
        <v>47</v>
      </c>
    </row>
    <row r="6" ht="20" customHeight="1" spans="2:9" x14ac:dyDescent="0.25">
      <c r="B6" s="16" t="s">
        <v>48</v>
      </c>
      <c r="C6" s="17">
        <v>25000</v>
      </c>
      <c r="D6" s="17">
        <v>185000</v>
      </c>
      <c r="E6" s="17">
        <v>350000</v>
      </c>
      <c r="F6" s="17">
        <v>245000</v>
      </c>
      <c r="G6" s="18">
        <f>=(C6+D6+E6)-F6</f>
      </c>
      <c r="H6" s="19">
        <v>0</v>
      </c>
      <c r="I6" s="20">
        <v>0</v>
      </c>
    </row>
    <row r="7" ht="20" customHeight="1" spans="2:9" x14ac:dyDescent="0.25">
      <c r="B7" s="21" t="s">
        <v>49</v>
      </c>
      <c r="C7" s="22">
        <v>26200</v>
      </c>
      <c r="D7" s="22">
        <v>189500</v>
      </c>
      <c r="E7" s="22">
        <v>350000</v>
      </c>
      <c r="F7" s="22">
        <v>243800</v>
      </c>
      <c r="G7" s="18">
        <f>=(C7+D7+E7)-F7</f>
      </c>
      <c r="H7" s="23">
        <f>=G7-G6</f>
      </c>
      <c r="I7" s="24">
        <f>=(G7-G6)/G6</f>
      </c>
    </row>
    <row r="8" ht="20" customHeight="1" spans="2:9" x14ac:dyDescent="0.25">
      <c r="B8" s="16" t="s">
        <v>50</v>
      </c>
      <c r="C8" s="17">
        <v>25800</v>
      </c>
      <c r="D8" s="17">
        <v>194200</v>
      </c>
      <c r="E8" s="17">
        <v>350000</v>
      </c>
      <c r="F8" s="17">
        <v>242600</v>
      </c>
      <c r="G8" s="18">
        <f>=(C8+D8+E8)-F8</f>
      </c>
      <c r="H8" s="19">
        <f>=G8-G7</f>
      </c>
      <c r="I8" s="20">
        <f>=(G8-G7)/G7</f>
      </c>
    </row>
    <row r="9" ht="20" customHeight="1" spans="2:9" x14ac:dyDescent="0.25">
      <c r="B9" s="21" t="s">
        <v>51</v>
      </c>
      <c r="C9" s="22">
        <v>27100</v>
      </c>
      <c r="D9" s="22">
        <v>191000</v>
      </c>
      <c r="E9" s="22">
        <v>350000</v>
      </c>
      <c r="F9" s="22">
        <v>241400</v>
      </c>
      <c r="G9" s="18">
        <f>=(C9+D9+E9)-F9</f>
      </c>
      <c r="H9" s="23">
        <f>=G9-G8</f>
      </c>
      <c r="I9" s="24">
        <f>=(G9-G8)/G8</f>
      </c>
    </row>
    <row r="10" ht="20" customHeight="1" spans="2:9" x14ac:dyDescent="0.25">
      <c r="B10" s="16" t="s">
        <v>52</v>
      </c>
      <c r="C10" s="17">
        <v>26900</v>
      </c>
      <c r="D10" s="17">
        <v>198500</v>
      </c>
      <c r="E10" s="17">
        <v>352000</v>
      </c>
      <c r="F10" s="17">
        <v>240100</v>
      </c>
      <c r="G10" s="18">
        <f>=(C10+D10+E10)-F10</f>
      </c>
      <c r="H10" s="19">
        <f>=G10-G9</f>
      </c>
      <c r="I10" s="20">
        <f>=(G10-G9)/G9</f>
      </c>
    </row>
    <row r="11" ht="20" customHeight="1" spans="2:9" x14ac:dyDescent="0.25">
      <c r="B11" s="21" t="s">
        <v>53</v>
      </c>
      <c r="C11" s="22">
        <v>28400</v>
      </c>
      <c r="D11" s="22">
        <v>204000</v>
      </c>
      <c r="E11" s="22">
        <v>352000</v>
      </c>
      <c r="F11" s="22">
        <v>238800</v>
      </c>
      <c r="G11" s="18">
        <f>=(C11+D11+E11)-F11</f>
      </c>
      <c r="H11" s="23">
        <f>=G11-G10</f>
      </c>
      <c r="I11" s="24">
        <f>=(G11-G10)/G10</f>
      </c>
    </row>
    <row r="12" ht="20" customHeight="1" spans="2:9" x14ac:dyDescent="0.25">
      <c r="B12" s="16" t="s">
        <v>54</v>
      </c>
      <c r="C12" s="17">
        <v>29000</v>
      </c>
      <c r="D12" s="17">
        <v>209500</v>
      </c>
      <c r="E12" s="17">
        <v>352000</v>
      </c>
      <c r="F12" s="17">
        <v>237500</v>
      </c>
      <c r="G12" s="18">
        <f>=(C12+D12+E12)-F12</f>
      </c>
      <c r="H12" s="19">
        <f>=G12-G11</f>
      </c>
      <c r="I12" s="20">
        <f>=(G12-G11)/G11</f>
      </c>
    </row>
    <row r="13" ht="20" customHeight="1" spans="2:9" x14ac:dyDescent="0.25">
      <c r="B13" s="21" t="s">
        <v>55</v>
      </c>
      <c r="C13" s="22">
        <v>28500</v>
      </c>
      <c r="D13" s="22">
        <v>215000</v>
      </c>
      <c r="E13" s="22">
        <v>355000</v>
      </c>
      <c r="F13" s="22">
        <v>236100</v>
      </c>
      <c r="G13" s="18">
        <f>=(C13+D13+E13)-F13</f>
      </c>
      <c r="H13" s="23">
        <f>=G13-G12</f>
      </c>
      <c r="I13" s="24">
        <f>=(G13-G12)/G12</f>
      </c>
    </row>
    <row r="14" ht="20" customHeight="1" spans="2:9" x14ac:dyDescent="0.25">
      <c r="B14" s="16" t="s">
        <v>56</v>
      </c>
      <c r="C14" s="17">
        <v>30200</v>
      </c>
      <c r="D14" s="17">
        <v>221000</v>
      </c>
      <c r="E14" s="17">
        <v>355000</v>
      </c>
      <c r="F14" s="17">
        <v>234700</v>
      </c>
      <c r="G14" s="18">
        <f>=(C14+D14+E14)-F14</f>
      </c>
      <c r="H14" s="19">
        <f>=G14-G13</f>
      </c>
      <c r="I14" s="20">
        <f>=(G14-G13)/G13</f>
      </c>
    </row>
    <row r="15" ht="20" customHeight="1" spans="2:9" x14ac:dyDescent="0.25">
      <c r="B15" s="21" t="s">
        <v>57</v>
      </c>
      <c r="C15" s="22">
        <v>31000</v>
      </c>
      <c r="D15" s="22">
        <v>228000</v>
      </c>
      <c r="E15" s="22">
        <v>355000</v>
      </c>
      <c r="F15" s="22">
        <v>233200</v>
      </c>
      <c r="G15" s="18">
        <f>=(C15+D15+E15)-F15</f>
      </c>
      <c r="H15" s="23">
        <f>=G15-G14</f>
      </c>
      <c r="I15" s="24">
        <f>=(G15-G14)/G14</f>
      </c>
    </row>
    <row r="16" ht="20" customHeight="1" spans="2:9" x14ac:dyDescent="0.25">
      <c r="B16" s="16" t="s">
        <v>58</v>
      </c>
      <c r="C16" s="17">
        <v>31500</v>
      </c>
      <c r="D16" s="17">
        <v>234500</v>
      </c>
      <c r="E16" s="17">
        <v>358000</v>
      </c>
      <c r="F16" s="17">
        <v>231700</v>
      </c>
      <c r="G16" s="18">
        <f>=(C16+D16+E16)-F16</f>
      </c>
      <c r="H16" s="19">
        <f>=G16-G15</f>
      </c>
      <c r="I16" s="20">
        <f>=(G16-G15)/G15</f>
      </c>
    </row>
    <row r="17" ht="20" customHeight="1" spans="2:9" x14ac:dyDescent="0.25">
      <c r="B17" s="21" t="s">
        <v>59</v>
      </c>
      <c r="C17" s="22">
        <v>33000</v>
      </c>
      <c r="D17" s="22">
        <v>242000</v>
      </c>
      <c r="E17" s="22">
        <v>358000</v>
      </c>
      <c r="F17" s="22">
        <v>230100</v>
      </c>
      <c r="G17" s="18">
        <f>=(C17+D17+E17)-F17</f>
      </c>
      <c r="H17" s="23">
        <f>=G17-G16</f>
      </c>
      <c r="I17" s="24">
        <f>=(G17-G16)/G16</f>
      </c>
    </row>
    <row r="18" ht="22" customHeight="1" spans="2:9" x14ac:dyDescent="0.25">
      <c r="B18" s="25" t="s">
        <v>60</v>
      </c>
      <c r="C18" s="26">
        <f>=C17</f>
      </c>
      <c r="D18" s="26">
        <f>=D17</f>
      </c>
      <c r="E18" s="26">
        <f>=E17</f>
      </c>
      <c r="F18" s="26">
        <f>=F17</f>
      </c>
      <c r="G18" s="26">
        <f>=G17</f>
      </c>
      <c r="H18" s="26">
        <f>=G17-G6</f>
      </c>
      <c r="I18" s="27">
        <f>=(G17-G6)/G6</f>
      </c>
    </row>
  </sheetData>
  <mergeCells count="2">
    <mergeCell ref="B2:I2"/>
    <mergeCell ref="B3:I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1" t="s">
        <v>61</v>
      </c>
      <c r="C2" s="1"/>
      <c r="D2" s="1"/>
      <c r="E2" s="1"/>
      <c r="F2" s="1"/>
    </row>
    <row r="3" ht="18" customHeight="1" spans="2:6" x14ac:dyDescent="0.25">
      <c r="B3" s="28" t="s">
        <v>62</v>
      </c>
      <c r="C3" s="28"/>
      <c r="D3" s="28"/>
      <c r="E3" s="28"/>
      <c r="F3" s="28"/>
    </row>
    <row r="5" ht="18" customHeight="1" spans="2:6" x14ac:dyDescent="0.25">
      <c r="B5" s="29" t="s">
        <v>63</v>
      </c>
      <c r="C5" s="29"/>
      <c r="D5" s="29" t="s">
        <v>64</v>
      </c>
      <c r="E5" s="29"/>
      <c r="F5" s="29" t="s">
        <v>65</v>
      </c>
    </row>
    <row r="6" ht="28" customHeight="1" spans="2:6" x14ac:dyDescent="0.25">
      <c r="B6" s="30">
        <f>='⚡ 2-Min Quick Check-In'!G18</f>
      </c>
      <c r="C6" s="30"/>
      <c r="D6" s="31">
        <f>='⚡ 2-Min Quick Check-In'!C18+'⚡ 2-Min Quick Check-In'!D18</f>
      </c>
      <c r="E6" s="31"/>
      <c r="F6" s="32" t="s">
        <v>66</v>
      </c>
    </row>
    <row r="7" ht="16" customHeight="1" spans="2:6" x14ac:dyDescent="0.25">
      <c r="B7" s="33">
        <f>="▲ Annual Growth: " &amp; TEXT('⚡ 2-Min Quick Check-In'!I18, "+0.0%") &amp; " (+$" &amp; TEXT('⚡ 2-Min Quick Check-In'!H18, "#,##0") &amp; ")"</f>
      </c>
      <c r="C7" s="33"/>
      <c r="D7" s="34">
        <f>="Liquid Ratio: " &amp; TEXT(('⚡ 2-Min Quick Check-In'!C18+'⚡ 2-Min Quick Check-In'!D18)/('⚡ 2-Min Quick Check-In'!G18+'⚡ 2-Min Quick Check-In'!F18), "0.0%") &amp; " of total assets"</f>
      </c>
      <c r="E7" s="34"/>
      <c r="F7" s="34" t="s">
        <v>67</v>
      </c>
    </row>
    <row r="9" ht="24" customHeight="1" spans="2:6" x14ac:dyDescent="0.25">
      <c r="B9" s="35" t="s">
        <v>68</v>
      </c>
      <c r="C9" s="35"/>
      <c r="D9" s="35"/>
      <c r="E9" s="35"/>
      <c r="F9" s="35"/>
    </row>
    <row r="10" ht="20" customHeight="1" spans="2:6" x14ac:dyDescent="0.25">
      <c r="B10" s="36" t="s">
        <v>69</v>
      </c>
      <c r="C10" s="36" t="s">
        <v>70</v>
      </c>
      <c r="D10" s="36" t="s">
        <v>71</v>
      </c>
      <c r="E10" s="36" t="s">
        <v>72</v>
      </c>
      <c r="F10" s="36" t="s">
        <v>73</v>
      </c>
    </row>
    <row r="11" ht="20" customHeight="1" spans="2:6" x14ac:dyDescent="0.25">
      <c r="B11" s="6" t="s">
        <v>74</v>
      </c>
      <c r="C11" s="17">
        <f>='⚡ 2-Min Quick Check-In'!G6</f>
      </c>
      <c r="D11" s="17">
        <f>='⚡ 2-Min Quick Check-In'!D6</f>
      </c>
      <c r="E11" s="17">
        <f>='⚡ 2-Min Quick Check-In'!F6</f>
      </c>
      <c r="F11" s="6" t="s">
        <v>75</v>
      </c>
    </row>
    <row r="12" ht="20" customHeight="1" spans="2:6" x14ac:dyDescent="0.25">
      <c r="B12" s="37" t="s">
        <v>76</v>
      </c>
      <c r="C12" s="22">
        <f>='⚡ 2-Min Quick Check-In'!G9</f>
      </c>
      <c r="D12" s="22">
        <f>='⚡ 2-Min Quick Check-In'!D9</f>
      </c>
      <c r="E12" s="22">
        <f>='⚡ 2-Min Quick Check-In'!F9</f>
      </c>
      <c r="F12" s="37" t="s">
        <v>77</v>
      </c>
    </row>
    <row r="13" ht="20" customHeight="1" spans="2:6" x14ac:dyDescent="0.25">
      <c r="B13" s="6" t="s">
        <v>78</v>
      </c>
      <c r="C13" s="17">
        <f>='⚡ 2-Min Quick Check-In'!G12</f>
      </c>
      <c r="D13" s="17">
        <f>='⚡ 2-Min Quick Check-In'!D12</f>
      </c>
      <c r="E13" s="17">
        <f>='⚡ 2-Min Quick Check-In'!F12</f>
      </c>
      <c r="F13" s="6" t="s">
        <v>79</v>
      </c>
    </row>
    <row r="14" ht="20" customHeight="1" spans="2:6" x14ac:dyDescent="0.25">
      <c r="B14" s="37" t="s">
        <v>80</v>
      </c>
      <c r="C14" s="22">
        <f>='⚡ 2-Min Quick Check-In'!G15</f>
      </c>
      <c r="D14" s="22">
        <f>='⚡ 2-Min Quick Check-In'!D15</f>
      </c>
      <c r="E14" s="22">
        <f>='⚡ 2-Min Quick Check-In'!F15</f>
      </c>
      <c r="F14" s="37" t="s">
        <v>81</v>
      </c>
    </row>
    <row r="15" ht="20" customHeight="1" spans="2:6" x14ac:dyDescent="0.25">
      <c r="B15" s="6" t="s">
        <v>82</v>
      </c>
      <c r="C15" s="17">
        <f>='⚡ 2-Min Quick Check-In'!G17</f>
      </c>
      <c r="D15" s="17">
        <f>='⚡ 2-Min Quick Check-In'!D17</f>
      </c>
      <c r="E15" s="17">
        <f>='⚡ 2-Min Quick Check-In'!F17</f>
      </c>
      <c r="F15" s="6" t="s">
        <v>83</v>
      </c>
    </row>
    <row r="18" ht="24" customHeight="1" spans="2:6" x14ac:dyDescent="0.25">
      <c r="B18" s="35" t="s">
        <v>84</v>
      </c>
      <c r="C18" s="35"/>
      <c r="D18" s="35"/>
      <c r="E18" s="35"/>
      <c r="F18" s="35"/>
    </row>
    <row r="19" ht="20" customHeight="1" spans="2:6" x14ac:dyDescent="0.25">
      <c r="B19" s="38" t="s">
        <v>85</v>
      </c>
      <c r="C19" s="38" t="s">
        <v>86</v>
      </c>
      <c r="D19" s="38" t="s">
        <v>87</v>
      </c>
      <c r="E19" s="38" t="s">
        <v>88</v>
      </c>
      <c r="F19" s="38"/>
    </row>
    <row r="20" ht="24" customHeight="1" spans="2:6" x14ac:dyDescent="0.25">
      <c r="B20" s="39" t="s">
        <v>89</v>
      </c>
      <c r="C20" s="39" t="s">
        <v>90</v>
      </c>
      <c r="D20" s="39" t="s">
        <v>91</v>
      </c>
      <c r="E20" s="39" t="s">
        <v>92</v>
      </c>
      <c r="F20" s="39"/>
    </row>
  </sheetData>
  <mergeCells count="12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40" t="s">
        <v>93</v>
      </c>
      <c r="C2" s="40"/>
      <c r="D2" s="40"/>
      <c r="E2" s="40"/>
      <c r="F2" s="40"/>
    </row>
    <row r="3" ht="18" customHeight="1" spans="2:6" x14ac:dyDescent="0.25">
      <c r="B3" s="28" t="s">
        <v>94</v>
      </c>
      <c r="C3" s="28"/>
      <c r="D3" s="28"/>
      <c r="E3" s="28"/>
      <c r="F3" s="28"/>
    </row>
    <row r="5" spans="2:6" x14ac:dyDescent="0.25">
      <c r="B5" s="33" t="s">
        <v>95</v>
      </c>
      <c r="C5" s="33"/>
      <c r="D5" s="33"/>
      <c r="E5" s="29" t="s">
        <v>96</v>
      </c>
      <c r="F5" s="29"/>
    </row>
    <row r="6" spans="2:6" x14ac:dyDescent="0.25">
      <c r="B6" s="41">
        <f>=E24</f>
      </c>
      <c r="C6" s="41"/>
      <c r="D6" s="41"/>
      <c r="E6" s="42">
        <f>=E24/30</f>
      </c>
      <c r="F6" s="42"/>
    </row>
    <row r="8" ht="22" customHeight="1" spans="2:6" x14ac:dyDescent="0.25">
      <c r="B8" s="43" t="s">
        <v>97</v>
      </c>
      <c r="C8" s="43" t="s">
        <v>98</v>
      </c>
      <c r="D8" s="43" t="s">
        <v>99</v>
      </c>
      <c r="E8" s="43" t="s">
        <v>100</v>
      </c>
      <c r="F8" s="43" t="s">
        <v>101</v>
      </c>
    </row>
    <row r="9" ht="20" customHeight="1" spans="2:6" x14ac:dyDescent="0.25">
      <c r="B9" s="3" t="s">
        <v>102</v>
      </c>
      <c r="C9" s="3"/>
      <c r="D9" s="3"/>
      <c r="E9" s="3"/>
      <c r="F9" s="3"/>
    </row>
    <row r="10" ht="19" customHeight="1" spans="2:6" x14ac:dyDescent="0.25">
      <c r="B10" s="6" t="s">
        <v>103</v>
      </c>
      <c r="C10" s="17">
        <v>6800</v>
      </c>
      <c r="D10" s="17">
        <v>6800</v>
      </c>
      <c r="E10" s="17">
        <f>=D10-C10</f>
      </c>
      <c r="F10" s="6" t="s">
        <v>104</v>
      </c>
    </row>
    <row r="11" ht="19" customHeight="1" spans="2:6" x14ac:dyDescent="0.25">
      <c r="B11" s="6" t="s">
        <v>105</v>
      </c>
      <c r="C11" s="17">
        <v>2200</v>
      </c>
      <c r="D11" s="17">
        <v>2200</v>
      </c>
      <c r="E11" s="17">
        <f>=D11-C11</f>
      </c>
      <c r="F11" s="6" t="s">
        <v>104</v>
      </c>
    </row>
    <row r="12" ht="19" customHeight="1" spans="2:6" x14ac:dyDescent="0.25">
      <c r="B12" s="6" t="s">
        <v>106</v>
      </c>
      <c r="C12" s="17">
        <v>500</v>
      </c>
      <c r="D12" s="17">
        <v>650</v>
      </c>
      <c r="E12" s="17">
        <f>=D12-C12</f>
      </c>
      <c r="F12" s="6" t="s">
        <v>104</v>
      </c>
    </row>
    <row r="13" ht="20" customHeight="1" spans="2:6" x14ac:dyDescent="0.25">
      <c r="B13" s="44" t="s">
        <v>107</v>
      </c>
      <c r="C13" s="45">
        <f>=SUM(C10:C12)</f>
      </c>
      <c r="D13" s="45">
        <f>=SUM(D10:D12)</f>
      </c>
      <c r="E13" s="45">
        <f>=D13-C13</f>
      </c>
      <c r="F13" s="44" t="s">
        <v>108</v>
      </c>
    </row>
    <row r="14" ht="20" customHeight="1" spans="2:6" x14ac:dyDescent="0.25">
      <c r="B14" s="46" t="s">
        <v>109</v>
      </c>
      <c r="C14" s="46"/>
      <c r="D14" s="46"/>
      <c r="E14" s="46"/>
      <c r="F14" s="46"/>
    </row>
    <row r="15" ht="19" customHeight="1" spans="2:6" x14ac:dyDescent="0.25">
      <c r="B15" s="6" t="s">
        <v>110</v>
      </c>
      <c r="C15" s="17">
        <v>2400</v>
      </c>
      <c r="D15" s="17">
        <v>2400</v>
      </c>
      <c r="E15" s="17">
        <f>=C15-D15</f>
      </c>
      <c r="F15" s="6">
        <f>=TEXT(D15/$D$13, "0.0%")</f>
      </c>
    </row>
    <row r="16" ht="19" customHeight="1" spans="2:6" x14ac:dyDescent="0.25">
      <c r="B16" s="6" t="s">
        <v>111</v>
      </c>
      <c r="C16" s="17">
        <v>750</v>
      </c>
      <c r="D16" s="17">
        <v>820</v>
      </c>
      <c r="E16" s="17">
        <f>=C16-D16</f>
      </c>
      <c r="F16" s="6">
        <f>=TEXT(D16/$D$13, "0.0%")</f>
      </c>
    </row>
    <row r="17" ht="19" customHeight="1" spans="2:6" x14ac:dyDescent="0.25">
      <c r="B17" s="6" t="s">
        <v>112</v>
      </c>
      <c r="C17" s="17">
        <v>320</v>
      </c>
      <c r="D17" s="17">
        <v>310</v>
      </c>
      <c r="E17" s="17">
        <f>=C17-D17</f>
      </c>
      <c r="F17" s="6">
        <f>=TEXT(D17/$D$13, "0.0%")</f>
      </c>
    </row>
    <row r="18" ht="19" customHeight="1" spans="2:6" x14ac:dyDescent="0.25">
      <c r="B18" s="6" t="s">
        <v>113</v>
      </c>
      <c r="C18" s="17">
        <v>450</v>
      </c>
      <c r="D18" s="17">
        <v>450</v>
      </c>
      <c r="E18" s="17">
        <f>=C18-D18</f>
      </c>
      <c r="F18" s="6">
        <f>=TEXT(D18/$D$13, "0.0%")</f>
      </c>
    </row>
    <row r="19" ht="19" customHeight="1" spans="2:6" x14ac:dyDescent="0.25">
      <c r="B19" s="6" t="s">
        <v>114</v>
      </c>
      <c r="C19" s="17">
        <v>400</v>
      </c>
      <c r="D19" s="17">
        <v>380</v>
      </c>
      <c r="E19" s="17">
        <f>=C19-D19</f>
      </c>
      <c r="F19" s="6">
        <f>=TEXT(D19/$D$13, "0.0%")</f>
      </c>
    </row>
    <row r="20" ht="20" customHeight="1" spans="2:6" x14ac:dyDescent="0.25">
      <c r="B20" s="47" t="s">
        <v>115</v>
      </c>
      <c r="C20" s="48">
        <f>=SUM(C15:C19)</f>
      </c>
      <c r="D20" s="48">
        <f>=SUM(D15:D19)</f>
      </c>
      <c r="E20" s="48">
        <f>=C20-D20</f>
      </c>
      <c r="F20" s="47">
        <f>="Actual: " &amp; TEXT(D20/D13, "0.0%") &amp; " (Target: ≤50%)"</f>
      </c>
    </row>
    <row r="21" ht="20" customHeight="1" spans="2:6" x14ac:dyDescent="0.25">
      <c r="B21" s="49" t="s">
        <v>116</v>
      </c>
      <c r="C21" s="49"/>
      <c r="D21" s="49"/>
      <c r="E21" s="49"/>
      <c r="F21" s="49"/>
    </row>
    <row r="22" ht="19" customHeight="1" spans="2:6" x14ac:dyDescent="0.25">
      <c r="B22" s="6" t="s">
        <v>117</v>
      </c>
      <c r="C22" s="17">
        <v>650</v>
      </c>
      <c r="D22" s="17">
        <v>520</v>
      </c>
      <c r="E22" s="17">
        <f>=C22-D22</f>
      </c>
      <c r="F22" s="6">
        <f>=TEXT(D22/$D$13, "0.0%")</f>
      </c>
    </row>
    <row r="23" ht="19" customHeight="1" spans="2:6" x14ac:dyDescent="0.25">
      <c r="B23" s="6" t="s">
        <v>118</v>
      </c>
      <c r="C23" s="17">
        <v>120</v>
      </c>
      <c r="D23" s="17">
        <v>115</v>
      </c>
      <c r="E23" s="17">
        <f>=C23-D23</f>
      </c>
      <c r="F23" s="6">
        <f>=TEXT(D23/$D$13, "0.0%")</f>
      </c>
    </row>
    <row r="24" ht="19" customHeight="1" spans="2:6" x14ac:dyDescent="0.25">
      <c r="B24" s="6" t="s">
        <v>119</v>
      </c>
      <c r="C24" s="17">
        <v>450</v>
      </c>
      <c r="D24" s="17">
        <v>380</v>
      </c>
      <c r="E24" s="17">
        <f>=C24-D24</f>
      </c>
      <c r="F24" s="6">
        <f>=TEXT(D24/$D$13, "0.0%")</f>
      </c>
    </row>
    <row r="25" ht="20" customHeight="1" spans="2:6" x14ac:dyDescent="0.25">
      <c r="B25" s="50" t="s">
        <v>120</v>
      </c>
      <c r="C25" s="51">
        <f>=SUM(C22:C24)</f>
      </c>
      <c r="D25" s="51">
        <f>=SUM(D22:D24)</f>
      </c>
      <c r="E25" s="51">
        <f>=C25-D25</f>
      </c>
      <c r="F25" s="50">
        <f>="Actual: " &amp; TEXT(D25/D13, "0.0%") &amp; " (Target: ≤30%)"</f>
      </c>
    </row>
    <row r="26" ht="20" customHeight="1" spans="2:6" x14ac:dyDescent="0.25">
      <c r="B26" s="3" t="s">
        <v>121</v>
      </c>
      <c r="C26" s="3"/>
      <c r="D26" s="3"/>
      <c r="E26" s="3"/>
      <c r="F26" s="3"/>
    </row>
    <row r="27" ht="19" customHeight="1" spans="2:6" x14ac:dyDescent="0.25">
      <c r="B27" s="6" t="s">
        <v>122</v>
      </c>
      <c r="C27" s="17">
        <v>2200</v>
      </c>
      <c r="D27" s="17">
        <v>2200</v>
      </c>
      <c r="E27" s="17">
        <f>=D27-C27</f>
      </c>
      <c r="F27" s="6">
        <f>=TEXT(D27/$D$13, "0.0%")</f>
      </c>
    </row>
    <row r="28" ht="19" customHeight="1" spans="2:6" x14ac:dyDescent="0.25">
      <c r="B28" s="6" t="s">
        <v>123</v>
      </c>
      <c r="C28" s="17">
        <v>500</v>
      </c>
      <c r="D28" s="17">
        <v>500</v>
      </c>
      <c r="E28" s="17">
        <f>=D28-C28</f>
      </c>
      <c r="F28" s="6">
        <f>=TEXT(D28/$D$13, "0.0%")</f>
      </c>
    </row>
    <row r="29" ht="19" customHeight="1" spans="2:6" x14ac:dyDescent="0.25">
      <c r="B29" s="6" t="s">
        <v>124</v>
      </c>
      <c r="C29" s="17">
        <v>600</v>
      </c>
      <c r="D29" s="17">
        <v>750</v>
      </c>
      <c r="E29" s="17">
        <f>=D29-C29</f>
      </c>
      <c r="F29" s="6">
        <f>=TEXT(D29/$D$13, "0.0%")</f>
      </c>
    </row>
    <row r="30" ht="20" customHeight="1" spans="2:6" x14ac:dyDescent="0.25">
      <c r="B30" s="52" t="s">
        <v>125</v>
      </c>
      <c r="C30" s="53">
        <f>=SUM(C27:C29)</f>
      </c>
      <c r="D30" s="53">
        <f>=SUM(D27:D29)</f>
      </c>
      <c r="E30" s="53">
        <f>=D30-C30</f>
      </c>
      <c r="F30" s="52">
        <f>="Savings Rate: " &amp; TEXT(D30/D13, "0.0%") &amp; " (FIRE Speed)"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54" t="s">
        <v>126</v>
      </c>
      <c r="C2" s="54"/>
      <c r="D2" s="54"/>
      <c r="E2" s="54"/>
      <c r="F2" s="54"/>
      <c r="G2" s="54"/>
      <c r="H2" s="54"/>
    </row>
    <row r="3" ht="18" customHeight="1" spans="2:8" x14ac:dyDescent="0.25">
      <c r="B3" s="13" t="s">
        <v>127</v>
      </c>
      <c r="C3" s="13"/>
      <c r="D3" s="13"/>
      <c r="E3" s="13"/>
      <c r="F3" s="13"/>
      <c r="G3" s="13"/>
      <c r="H3" s="13"/>
    </row>
    <row r="5" ht="22" customHeight="1" spans="2:8" x14ac:dyDescent="0.25">
      <c r="B5" s="43" t="s">
        <v>128</v>
      </c>
      <c r="C5" s="43" t="s">
        <v>129</v>
      </c>
      <c r="D5" s="43" t="s">
        <v>130</v>
      </c>
      <c r="E5" s="43" t="s">
        <v>131</v>
      </c>
      <c r="F5" s="43" t="s">
        <v>132</v>
      </c>
      <c r="G5" s="43" t="s">
        <v>133</v>
      </c>
      <c r="H5" s="43" t="s">
        <v>134</v>
      </c>
    </row>
    <row r="6" ht="20" customHeight="1" spans="2:8" x14ac:dyDescent="0.25">
      <c r="B6" s="6" t="s">
        <v>135</v>
      </c>
      <c r="C6" s="17">
        <v>25000</v>
      </c>
      <c r="D6" s="17">
        <v>21500</v>
      </c>
      <c r="E6" s="17">
        <f>=C6-D6</f>
      </c>
      <c r="F6" s="6" t="s">
        <v>53</v>
      </c>
      <c r="G6" s="17">
        <v>700</v>
      </c>
      <c r="H6" s="55">
        <f>=D6/C6</f>
      </c>
    </row>
    <row r="7" ht="20" customHeight="1" spans="2:8" x14ac:dyDescent="0.25">
      <c r="B7" s="37" t="s">
        <v>136</v>
      </c>
      <c r="C7" s="22">
        <v>2000</v>
      </c>
      <c r="D7" s="22">
        <v>1400</v>
      </c>
      <c r="E7" s="22">
        <f>=C7-D7</f>
      </c>
      <c r="F7" s="37" t="s">
        <v>55</v>
      </c>
      <c r="G7" s="22">
        <v>150</v>
      </c>
      <c r="H7" s="56">
        <f>=D7/C7</f>
      </c>
    </row>
    <row r="8" ht="20" customHeight="1" spans="2:8" x14ac:dyDescent="0.25">
      <c r="B8" s="6" t="s">
        <v>137</v>
      </c>
      <c r="C8" s="17">
        <v>4500</v>
      </c>
      <c r="D8" s="17">
        <v>2800</v>
      </c>
      <c r="E8" s="17">
        <f>=C8-D8</f>
      </c>
      <c r="F8" s="6" t="s">
        <v>59</v>
      </c>
      <c r="G8" s="17">
        <v>250</v>
      </c>
      <c r="H8" s="55">
        <f>=D8/C8</f>
      </c>
    </row>
    <row r="9" ht="20" customHeight="1" spans="2:8" x14ac:dyDescent="0.25">
      <c r="B9" s="37" t="s">
        <v>138</v>
      </c>
      <c r="C9" s="22">
        <v>1500</v>
      </c>
      <c r="D9" s="22">
        <v>750</v>
      </c>
      <c r="E9" s="22">
        <f>=C9-D9</f>
      </c>
      <c r="F9" s="37" t="s">
        <v>58</v>
      </c>
      <c r="G9" s="22">
        <v>125</v>
      </c>
      <c r="H9" s="56">
        <f>=D9/C9</f>
      </c>
    </row>
    <row r="10" ht="20" customHeight="1" spans="2:8" x14ac:dyDescent="0.25">
      <c r="B10" s="6" t="s">
        <v>139</v>
      </c>
      <c r="C10" s="17">
        <v>3500</v>
      </c>
      <c r="D10" s="17">
        <v>1800</v>
      </c>
      <c r="E10" s="17">
        <f>=C10-D10</f>
      </c>
      <c r="F10" s="6" t="s">
        <v>57</v>
      </c>
      <c r="G10" s="17">
        <v>250</v>
      </c>
      <c r="H10" s="55">
        <f>=D10/C10</f>
      </c>
    </row>
    <row r="11" ht="22" customHeight="1" spans="2:8" x14ac:dyDescent="0.25">
      <c r="B11" s="25" t="s">
        <v>140</v>
      </c>
      <c r="C11" s="26">
        <f>=SUM(C6:C10)</f>
      </c>
      <c r="D11" s="26">
        <f>=SUM(D6:D10)</f>
      </c>
      <c r="E11" s="26">
        <f>=SUM(E6:E10)</f>
      </c>
      <c r="F11" s="25" t="s">
        <v>141</v>
      </c>
      <c r="G11" s="26">
        <f>=SUM(G6:G10)</f>
      </c>
      <c r="H11" s="57">
        <f>=D11/C11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40" t="s">
        <v>142</v>
      </c>
      <c r="C2" s="40"/>
      <c r="D2" s="40"/>
      <c r="E2" s="40"/>
    </row>
    <row r="4" spans="2:5" x14ac:dyDescent="0.25">
      <c r="B4" s="7" t="s">
        <v>143</v>
      </c>
      <c r="C4" s="7"/>
      <c r="D4" s="7"/>
      <c r="E4" s="7"/>
    </row>
    <row r="5" ht="19" customHeight="1" spans="2:3" x14ac:dyDescent="0.25">
      <c r="B5" s="6" t="s">
        <v>144</v>
      </c>
      <c r="C5" s="58">
        <v>32</v>
      </c>
    </row>
    <row r="6" ht="19" customHeight="1" spans="2:3" x14ac:dyDescent="0.25">
      <c r="B6" s="6" t="s">
        <v>145</v>
      </c>
      <c r="C6" s="59">
        <v>66000</v>
      </c>
    </row>
    <row r="7" ht="19" customHeight="1" spans="2:3" x14ac:dyDescent="0.25">
      <c r="B7" s="6" t="s">
        <v>146</v>
      </c>
      <c r="C7" s="60">
        <v>0.04</v>
      </c>
    </row>
    <row r="8" ht="19" customHeight="1" spans="2:3" x14ac:dyDescent="0.25">
      <c r="B8" s="6" t="s">
        <v>147</v>
      </c>
      <c r="C8" s="60">
        <v>0.07</v>
      </c>
    </row>
    <row r="9" ht="19" customHeight="1" spans="2:3" x14ac:dyDescent="0.25">
      <c r="B9" s="6" t="s">
        <v>148</v>
      </c>
      <c r="C9" s="59">
        <f>'⚡ 2-Min Quick Check-In'!D18</f>
      </c>
    </row>
    <row r="10" ht="19" customHeight="1" spans="2:3" x14ac:dyDescent="0.25">
      <c r="B10" s="6" t="s">
        <v>149</v>
      </c>
      <c r="C10" s="59">
        <f>'💸 Smart Budget (50-30-20)'!D27</f>
      </c>
    </row>
    <row r="12" spans="2:5" x14ac:dyDescent="0.25">
      <c r="B12" s="3" t="s">
        <v>150</v>
      </c>
      <c r="C12" s="3"/>
      <c r="D12" s="3"/>
      <c r="E12" s="3"/>
    </row>
    <row r="13" ht="20" customHeight="1" spans="2:4" x14ac:dyDescent="0.25">
      <c r="B13" s="6" t="s">
        <v>151</v>
      </c>
      <c r="C13" s="59">
        <f>C6*0.65/C7</f>
      </c>
      <c r="D13" s="61" t="s">
        <v>152</v>
      </c>
    </row>
    <row r="14" ht="20" customHeight="1" spans="2:4" x14ac:dyDescent="0.25">
      <c r="B14" s="6" t="s">
        <v>153</v>
      </c>
      <c r="C14" s="59">
        <f>C6/C7</f>
      </c>
      <c r="D14" s="61" t="s">
        <v>154</v>
      </c>
    </row>
    <row r="15" ht="20" customHeight="1" spans="2:4" x14ac:dyDescent="0.25">
      <c r="B15" s="6" t="s">
        <v>155</v>
      </c>
      <c r="C15" s="59">
        <f>C6*1.4/C7</f>
      </c>
      <c r="D15" s="61" t="s">
        <v>156</v>
      </c>
    </row>
    <row r="16" ht="20" customHeight="1" spans="2:4" x14ac:dyDescent="0.25">
      <c r="B16" s="6" t="s">
        <v>157</v>
      </c>
      <c r="C16" s="59">
        <f>(C6/C7)/(1+C8)^(60-C5)</f>
      </c>
      <c r="D16" s="61" t="s">
        <v>158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62" t="s">
        <v>159</v>
      </c>
      <c r="C2" s="62"/>
      <c r="D2" s="62"/>
      <c r="E2" s="62"/>
      <c r="F2" s="62"/>
    </row>
    <row r="4" ht="20" customHeight="1" spans="2:6" x14ac:dyDescent="0.25">
      <c r="B4" s="36" t="s">
        <v>160</v>
      </c>
      <c r="C4" s="36" t="s">
        <v>130</v>
      </c>
      <c r="D4" s="36" t="s">
        <v>161</v>
      </c>
      <c r="E4" s="36" t="s">
        <v>162</v>
      </c>
      <c r="F4" s="36" t="s">
        <v>163</v>
      </c>
    </row>
    <row r="5" ht="19" customHeight="1" spans="2:6" x14ac:dyDescent="0.25">
      <c r="B5" s="6" t="s">
        <v>164</v>
      </c>
      <c r="C5" s="17">
        <v>4200</v>
      </c>
      <c r="D5" s="63">
        <v>0.2499</v>
      </c>
      <c r="E5" s="17">
        <v>140</v>
      </c>
      <c r="F5" s="6" t="s">
        <v>165</v>
      </c>
    </row>
    <row r="6" ht="19" customHeight="1" spans="2:6" x14ac:dyDescent="0.25">
      <c r="B6" s="6" t="s">
        <v>166</v>
      </c>
      <c r="C6" s="17">
        <v>8500</v>
      </c>
      <c r="D6" s="63">
        <v>0.115</v>
      </c>
      <c r="E6" s="17">
        <v>210</v>
      </c>
      <c r="F6" s="6" t="s">
        <v>167</v>
      </c>
    </row>
    <row r="7" ht="19" customHeight="1" spans="2:6" x14ac:dyDescent="0.25">
      <c r="B7" s="6" t="s">
        <v>168</v>
      </c>
      <c r="C7" s="17">
        <v>17400</v>
      </c>
      <c r="D7" s="63">
        <v>0.059</v>
      </c>
      <c r="E7" s="17">
        <v>380</v>
      </c>
      <c r="F7" s="6" t="s">
        <v>169</v>
      </c>
    </row>
    <row r="8" ht="19" customHeight="1" spans="2:6" x14ac:dyDescent="0.25">
      <c r="B8" s="6" t="s">
        <v>170</v>
      </c>
      <c r="C8" s="17">
        <v>200000</v>
      </c>
      <c r="D8" s="63">
        <v>0.035</v>
      </c>
      <c r="E8" s="17">
        <v>1670</v>
      </c>
      <c r="F8" s="6" t="s">
        <v>171</v>
      </c>
    </row>
    <row r="9" ht="20" customHeight="1" spans="2:6" x14ac:dyDescent="0.25">
      <c r="B9" s="44" t="s">
        <v>172</v>
      </c>
      <c r="C9" s="45">
        <f>=SUM(C5:C8)</f>
      </c>
      <c r="D9" s="64">
        <f>=AVERAGE(D5:D8)</f>
      </c>
      <c r="E9" s="45">
        <f>=SUM(E5:E8)</f>
      </c>
      <c r="F9" s="44" t="s">
        <v>173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62" t="s">
        <v>174</v>
      </c>
      <c r="C2" s="62"/>
      <c r="D2" s="62"/>
      <c r="E2" s="62"/>
      <c r="F2" s="62"/>
      <c r="G2" s="62"/>
      <c r="H2" s="62"/>
    </row>
    <row r="4" ht="20" customHeight="1" spans="2:8" x14ac:dyDescent="0.25">
      <c r="B4" s="36" t="s">
        <v>175</v>
      </c>
      <c r="C4" s="36" t="s">
        <v>176</v>
      </c>
      <c r="D4" s="36" t="s">
        <v>177</v>
      </c>
      <c r="E4" s="36" t="s">
        <v>178</v>
      </c>
      <c r="F4" s="36" t="s">
        <v>179</v>
      </c>
      <c r="G4" s="36" t="s">
        <v>180</v>
      </c>
      <c r="H4" s="36" t="s">
        <v>181</v>
      </c>
    </row>
    <row r="5" ht="19" customHeight="1" spans="2:8" x14ac:dyDescent="0.25">
      <c r="B5" s="6" t="s">
        <v>182</v>
      </c>
      <c r="C5" s="17">
        <v>4800</v>
      </c>
      <c r="D5" s="17">
        <v>39000</v>
      </c>
      <c r="E5" s="17">
        <v>145000</v>
      </c>
      <c r="F5" s="17">
        <v>380000</v>
      </c>
      <c r="G5" s="17">
        <v>750000</v>
      </c>
      <c r="H5" s="17">
        <v>2800000</v>
      </c>
    </row>
    <row r="6" ht="19" customHeight="1" spans="2:8" x14ac:dyDescent="0.25">
      <c r="B6" s="37" t="s">
        <v>183</v>
      </c>
      <c r="C6" s="22">
        <v>35000</v>
      </c>
      <c r="D6" s="22">
        <v>135600</v>
      </c>
      <c r="E6" s="22">
        <v>420000</v>
      </c>
      <c r="F6" s="22">
        <v>980000</v>
      </c>
      <c r="G6" s="22">
        <v>1850000</v>
      </c>
      <c r="H6" s="22">
        <v>5500000</v>
      </c>
    </row>
    <row r="7" ht="19" customHeight="1" spans="2:8" x14ac:dyDescent="0.25">
      <c r="B7" s="6" t="s">
        <v>184</v>
      </c>
      <c r="C7" s="17">
        <v>68000</v>
      </c>
      <c r="D7" s="17">
        <v>247200</v>
      </c>
      <c r="E7" s="17">
        <v>780000</v>
      </c>
      <c r="F7" s="17">
        <v>1950000</v>
      </c>
      <c r="G7" s="17">
        <v>3400000</v>
      </c>
      <c r="H7" s="17">
        <v>10200000</v>
      </c>
    </row>
    <row r="8" ht="19" customHeight="1" spans="2:8" x14ac:dyDescent="0.25">
      <c r="B8" s="37" t="s">
        <v>185</v>
      </c>
      <c r="C8" s="22">
        <v>95000</v>
      </c>
      <c r="D8" s="22">
        <v>364500</v>
      </c>
      <c r="E8" s="22">
        <v>1150000</v>
      </c>
      <c r="F8" s="22">
        <v>2800000</v>
      </c>
      <c r="G8" s="22">
        <v>4900000</v>
      </c>
      <c r="H8" s="22">
        <v>14500000</v>
      </c>
    </row>
    <row r="9" ht="19" customHeight="1" spans="2:8" x14ac:dyDescent="0.25">
      <c r="B9" s="6" t="s">
        <v>186</v>
      </c>
      <c r="C9" s="17">
        <v>110000</v>
      </c>
      <c r="D9" s="17">
        <v>409900</v>
      </c>
      <c r="E9" s="17">
        <v>1350000</v>
      </c>
      <c r="F9" s="17">
        <v>3200000</v>
      </c>
      <c r="G9" s="17">
        <v>5600000</v>
      </c>
      <c r="H9" s="17">
        <v>16800000</v>
      </c>
    </row>
    <row r="10" ht="19" customHeight="1" spans="2:8" x14ac:dyDescent="0.25">
      <c r="B10" s="37" t="s">
        <v>187</v>
      </c>
      <c r="C10" s="22">
        <v>92000</v>
      </c>
      <c r="D10" s="22">
        <v>335600</v>
      </c>
      <c r="E10" s="22">
        <v>1050000</v>
      </c>
      <c r="F10" s="22">
        <v>2600000</v>
      </c>
      <c r="G10" s="22">
        <v>4700000</v>
      </c>
      <c r="H10" s="22">
        <v>13200000</v>
      </c>
    </row>
  </sheetData>
  <mergeCells count="1">
    <mergeCell ref="B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🟢 START HERE (60-Sec Guide)</vt:lpstr>
      <vt:lpstr>⚡ 2-Min Quick Check-In</vt:lpstr>
      <vt:lpstr>📊 Executive Dashboard</vt:lpstr>
      <vt:lpstr>💸 Smart Budget (50-30-20)</vt:lpstr>
      <vt:lpstr>🎯 Sinking Funds Shield</vt:lpstr>
      <vt:lpstr>🔥 FIRE Freedom Engine</vt:lpstr>
      <vt:lpstr>💳 Debt Avalanche &amp; Snowball</vt:lpstr>
      <vt:lpstr>🏛️ Fed Benchmarks (SCF)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Jha — GetNetWorthCalculator.com</dc:creator>
  <dc:title/>
  <dc:subject/>
  <dc:description/>
  <cp:keywords/>
  <cp:category/>
  <cp:lastModifiedBy>GetNetWorth Analytics Team</cp:lastModifiedBy>
  <dcterms:created xsi:type="dcterms:W3CDTF">2026-10-22T11:32:23Z</dcterms:created>
  <dcterms:modified xsi:type="dcterms:W3CDTF">2026-10-22T11:32:23Z</dcterms:modified>
</cp:coreProperties>
</file>